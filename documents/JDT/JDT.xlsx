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66hua\Documents\GitHub\Mostly_Human\documents\JDT\"/>
    </mc:Choice>
  </mc:AlternateContent>
  <xr:revisionPtr revIDLastSave="0" documentId="13_ncr:1_{65AB5F89-8CBD-41AD-BCE8-61256877A4BB}" xr6:coauthVersionLast="47" xr6:coauthVersionMax="47" xr10:uidLastSave="{00000000-0000-0000-0000-000000000000}"/>
  <bookViews>
    <workbookView xWindow="-120" yWindow="-120" windowWidth="29040" windowHeight="15840" activeTab="6" xr2:uid="{E0F9514E-71B1-4D3A-A758-AA454C20BFD4}"/>
  </bookViews>
  <sheets>
    <sheet name="Semaine1" sheetId="1" r:id="rId1"/>
    <sheet name="Semaine2" sheetId="8" r:id="rId2"/>
    <sheet name="Semaine3" sheetId="9" r:id="rId3"/>
    <sheet name="Semaine4" sheetId="10" r:id="rId4"/>
    <sheet name="Semaine5" sheetId="11" r:id="rId5"/>
    <sheet name="Semaine6" sheetId="12" r:id="rId6"/>
    <sheet name="Semaine7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J10" i="1"/>
  <c r="L10" i="1"/>
  <c r="L29" i="1"/>
  <c r="L38" i="1"/>
  <c r="L51" i="1"/>
  <c r="L64" i="1"/>
  <c r="L81" i="1"/>
  <c r="L25" i="9"/>
  <c r="L34" i="9"/>
  <c r="L53" i="9"/>
  <c r="L72" i="9"/>
  <c r="L87" i="9"/>
  <c r="L19" i="10"/>
  <c r="L107" i="13"/>
  <c r="L76" i="13"/>
  <c r="L45" i="13"/>
  <c r="L34" i="13"/>
  <c r="L25" i="13"/>
  <c r="L91" i="12"/>
  <c r="L72" i="12"/>
  <c r="L57" i="12"/>
  <c r="L38" i="12"/>
  <c r="L29" i="12"/>
  <c r="L85" i="11"/>
  <c r="L68" i="11"/>
  <c r="L53" i="11"/>
  <c r="L36" i="11"/>
  <c r="L27" i="11"/>
  <c r="L77" i="10"/>
  <c r="L60" i="10"/>
  <c r="L45" i="10"/>
  <c r="L28" i="10"/>
  <c r="L71" i="8"/>
  <c r="L62" i="8"/>
  <c r="L51" i="8"/>
  <c r="L34" i="8"/>
  <c r="L25" i="8"/>
  <c r="B10" i="9" l="1"/>
  <c r="J10" i="9" s="1"/>
  <c r="L10" i="9" s="1"/>
  <c r="B10" i="13"/>
  <c r="J10" i="13" s="1"/>
  <c r="L10" i="13" s="1"/>
  <c r="B10" i="12"/>
  <c r="J10" i="12" s="1"/>
  <c r="L10" i="12" s="1"/>
  <c r="B10" i="11"/>
  <c r="J10" i="11" s="1"/>
  <c r="L10" i="11" s="1"/>
  <c r="B10" i="10"/>
  <c r="J10" i="10" s="1"/>
  <c r="L10" i="10" s="1"/>
  <c r="B10" i="8"/>
  <c r="J10" i="8" s="1"/>
  <c r="L10" i="8" s="1"/>
</calcChain>
</file>

<file path=xl/sharedStrings.xml><?xml version="1.0" encoding="utf-8"?>
<sst xmlns="http://schemas.openxmlformats.org/spreadsheetml/2006/main" count="508" uniqueCount="130">
  <si>
    <t xml:space="preserve">Semaine </t>
  </si>
  <si>
    <t>sprint</t>
  </si>
  <si>
    <t>du</t>
  </si>
  <si>
    <t>au</t>
  </si>
  <si>
    <t>Lundi</t>
  </si>
  <si>
    <t>tache</t>
  </si>
  <si>
    <t>Explication</t>
  </si>
  <si>
    <t>Info Supplementaire</t>
  </si>
  <si>
    <t>TOTAL</t>
  </si>
  <si>
    <t>-</t>
  </si>
  <si>
    <t>Durée</t>
  </si>
  <si>
    <t>Mardi</t>
  </si>
  <si>
    <t>Mercredi</t>
  </si>
  <si>
    <t>Jeudi</t>
  </si>
  <si>
    <t>Vendredi</t>
  </si>
  <si>
    <t>Théorie</t>
  </si>
  <si>
    <t>Heures à faire</t>
  </si>
  <si>
    <t>Heurs supplèmentaire</t>
  </si>
  <si>
    <t>Heure restantes</t>
  </si>
  <si>
    <t>Heures faites</t>
  </si>
  <si>
    <t>explication du fonctionnement du TPI et du PA_PRO_1</t>
  </si>
  <si>
    <t>Explicaiton</t>
  </si>
  <si>
    <t>Choix du projet</t>
  </si>
  <si>
    <t>moment libre</t>
  </si>
  <si>
    <t>information sur TPI.ch</t>
  </si>
  <si>
    <t>discution</t>
  </si>
  <si>
    <t>discution sur le projet qui nous a été attribué</t>
  </si>
  <si>
    <t>presision sur le projet</t>
  </si>
  <si>
    <t>presision sur le projet qu'on c'est vu attribué</t>
  </si>
  <si>
    <t>test techno</t>
  </si>
  <si>
    <t>test sur les diffrente techno que je pouvait utiliser, liste, le pour et le contre</t>
  </si>
  <si>
    <t>visionage des vidéos</t>
  </si>
  <si>
    <t>discution à propos de la manière de travailler du chef de projet (JDT, CDC, Agile, Sprint, durée, Github, ect..)</t>
  </si>
  <si>
    <t>discution en fin de journée sur le CDC et sur les techno</t>
  </si>
  <si>
    <t>Discution en début de journée sur les besoin (laptops admin) et sur le changement de techno (je fait sur gRPC et Luca sur MQTT) aussi sur le rapport</t>
  </si>
  <si>
    <t>discution sur les techno avec Luca</t>
  </si>
  <si>
    <t>DOC</t>
  </si>
  <si>
    <t>avance sur le CDC, surtout les points 6 et 8</t>
  </si>
  <si>
    <t>avance sur le CDC, surtout le point 6</t>
  </si>
  <si>
    <t>JDT</t>
  </si>
  <si>
    <t>Creation et remplissage du CDC</t>
  </si>
  <si>
    <t>https://eduvaud.sharepoint.com/:u:/r/sites/ETML_INF4-21-25_Teams/Documents%20partages/P_APPRO-XCL/Project%20Handbook.zip?csf=1&amp;web=1&amp;e=dxYx5W</t>
  </si>
  <si>
    <t>voir CDC dans la livrasion Github</t>
  </si>
  <si>
    <t>voir JDT dans la livrasion Github</t>
  </si>
  <si>
    <t>Avance sur la Documentation, Point 1 fini et début des autres points</t>
  </si>
  <si>
    <t>LOGO</t>
  </si>
  <si>
    <t>début de la creation d'un logo [WIP]</t>
  </si>
  <si>
    <t>documentation</t>
  </si>
  <si>
    <t>rempissage du JDT</t>
  </si>
  <si>
    <t>planification</t>
  </si>
  <si>
    <t>user stories et test d'acceptance</t>
  </si>
  <si>
    <t>sceance</t>
  </si>
  <si>
    <t>sceance sur le TPI</t>
  </si>
  <si>
    <t>recherches</t>
  </si>
  <si>
    <t>recherches sur gRPC</t>
  </si>
  <si>
    <t>code</t>
  </si>
  <si>
    <t>code sur les deux parties pour la connexion avec gRPC</t>
  </si>
  <si>
    <t>tout les comits du 29.01.2025</t>
  </si>
  <si>
    <t>recherches sur les multiples problèmes que j'ai eu (principalement le fait que le coté élève n'est pas atteignable depuis l'autre côté)</t>
  </si>
  <si>
    <t>discussion</t>
  </si>
  <si>
    <t>discussion avec le prof par rapport à la détection des trames reseau (avec netcat)</t>
  </si>
  <si>
    <t>tout les comits du 30.01.2025</t>
  </si>
  <si>
    <t>discution avec le chef de projet à propos d'un problème de droits et de ports ouverts</t>
  </si>
  <si>
    <t>Maladie</t>
  </si>
  <si>
    <t>meeting</t>
  </si>
  <si>
    <t>self meeting</t>
  </si>
  <si>
    <t>programation</t>
  </si>
  <si>
    <t>page listant les pc scannés</t>
  </si>
  <si>
    <t>page listant les quand on essaye de les détécter</t>
  </si>
  <si>
    <t>lien entre l'UI et la partie qui permet de contacter les machines clientes</t>
  </si>
  <si>
    <t>update de la page listant les pc scannés</t>
  </si>
  <si>
    <t>Ajout du ping dans la partie "logique" du code (côté prof)</t>
  </si>
  <si>
    <t>ajout de vérification sur la page de choix des pc à scanner</t>
  </si>
  <si>
    <t>ajout d'un fichier de configuration</t>
  </si>
  <si>
    <t>creation de user control supplèmentaire pour la page avec les pc en cours de monitoring</t>
  </si>
  <si>
    <t>Documentation</t>
  </si>
  <si>
    <t>Update de la documentation entre le point 1 et 2</t>
  </si>
  <si>
    <t>voir push github</t>
  </si>
  <si>
    <t>identification bugs</t>
  </si>
  <si>
    <t>Update de la documentation : ajout des users stories (crées dans IceScrum)</t>
  </si>
  <si>
    <t>Ajout de l'ip dans le status des machines (list machine monitorées)</t>
  </si>
  <si>
    <t>Discution avec le chef de projet sur la documentation</t>
  </si>
  <si>
    <t>Bug Fix: ajout autoScale au user control dans le paneau d'info sur la page List</t>
  </si>
  <si>
    <t>Ajout de la page pour gerer les listes des ressources interdites</t>
  </si>
  <si>
    <t>sprint review 1</t>
  </si>
  <si>
    <t>Ajout du changement dans liste secondaire (via liste déroulante)</t>
  </si>
  <si>
    <t>Ajout de l'impot des liste secondaires depuis un fichier json</t>
  </si>
  <si>
    <t>Ajout de l'option pour ajouter des ressource au deux listes</t>
  </si>
  <si>
    <t>Ajout de l'option pour supprimer des ressource à la sublist</t>
  </si>
  <si>
    <t>Congé</t>
  </si>
  <si>
    <t>Mise en place</t>
  </si>
  <si>
    <t>Patch des cables pour le reseau altérnatif pour l'environement de dev et setup des posts</t>
  </si>
  <si>
    <t>avance sur la gestion des sublistes</t>
  </si>
  <si>
    <t>reprise de la programation des deux partie utilisant gRPC (Problème avec la version de .net)</t>
  </si>
  <si>
    <t>page settings</t>
  </si>
  <si>
    <t>ajout des commentaire (amélioration et commentaires au dessu des methode)</t>
  </si>
  <si>
    <t>modifications sur la page avec les listes</t>
  </si>
  <si>
    <t>ajout des logs sur la page avec la liste des pc actuellement scannés</t>
  </si>
  <si>
    <t>Ajout de l'option pour supprimer une ressource de la liste principale de ressources bannies</t>
  </si>
  <si>
    <t>sprint review 2</t>
  </si>
  <si>
    <t>liason basique gRPC entre les 2 posts dans l'environement de dev</t>
  </si>
  <si>
    <t>recherche</t>
  </si>
  <si>
    <t>recherches sur les notifications window</t>
  </si>
  <si>
    <t>ajustement de l'affichage des infos supplementaires sur les pc (page pclist)</t>
  </si>
  <si>
    <t>creation d'un object pour gerer l'annonce des infractions</t>
  </si>
  <si>
    <t>recherches sur le multi threading</t>
  </si>
  <si>
    <t>code/recherches</t>
  </si>
  <si>
    <t>j'ai eu un problème avec grpc et la version de .NET, j'ai actuellement .Net 4.8 et il me faut la version 8 ou 9 mais j'arrive pas à l'installer dans vscode</t>
  </si>
  <si>
    <t>optimisation de petites choses</t>
  </si>
  <si>
    <t>ajout de commentaires ou il manquait, pas fini</t>
  </si>
  <si>
    <t>avance sur la documentation</t>
  </si>
  <si>
    <t>migration de la partie winfrom du projet depuis .Net 4.8 à .Net 8.0</t>
  </si>
  <si>
    <t>ajout de la fonctionnalité pour détécter si le serveur grpc est allumé</t>
  </si>
  <si>
    <t>optimisation du scan des pc, ils sont fait en parallèles maintenant</t>
  </si>
  <si>
    <t>Long Lived Stream (heart beat) et retour des infractions</t>
  </si>
  <si>
    <t>récupération des ip consultées et traduction en hostname (WIP)</t>
  </si>
  <si>
    <t>recherche sur Long Lived Stream avec grpc</t>
  </si>
  <si>
    <t>la récupèration des ip contactée et des</t>
  </si>
  <si>
    <t>Long Lived Stream (heart beat) et retour des infractions (toujour la même erreur: metode inconue)</t>
  </si>
  <si>
    <t>réupération des sites webs consultés</t>
  </si>
  <si>
    <t>recherche sur la récupération des donnée du dns</t>
  </si>
  <si>
    <t>recherche sur long live stream</t>
  </si>
  <si>
    <t>optimisation de certaine metodes</t>
  </si>
  <si>
    <t>Ajout de la notification windows du coté élève quand une infraction est détectée (10s de temp entre chaque notifications)</t>
  </si>
  <si>
    <t>Implementation du heart beat (console à serveur) -&gt; prochaine étape, lancer le heart beat depuis la GUI</t>
  </si>
  <si>
    <t>sprint review 3</t>
  </si>
  <si>
    <t>problème avec des réferances en boucle (2 object qui ont une référence de l'autre -&gt; problème) [WIP]</t>
  </si>
  <si>
    <t>Implementation du heart beat à la partie form [WIP]</t>
  </si>
  <si>
    <t>modification du format du JDT pour que quand exporter les colones ne soient pas coupées</t>
  </si>
  <si>
    <t>petite modification du code pour la détéction des postes (pour un gain de 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</si>
</sst>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14" fontId="0" fillId="4" borderId="5" xfId="0" applyNumberFormat="1" applyFill="1" applyBorder="1" applyAlignment="1">
      <alignment horizontal="center" vertical="center" wrapText="1"/>
    </xf>
    <xf numFmtId="14" fontId="0" fillId="4" borderId="6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quotePrefix="1" applyFill="1" applyBorder="1" applyAlignment="1">
      <alignment horizontal="center" vertical="center" wrapText="1"/>
    </xf>
    <xf numFmtId="0" fontId="0" fillId="3" borderId="6" xfId="0" quotePrefix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46" fontId="0" fillId="0" borderId="1" xfId="0" quotePrefix="1" applyNumberFormat="1" applyBorder="1" applyAlignment="1">
      <alignment horizontal="center" vertical="center" wrapText="1"/>
    </xf>
    <xf numFmtId="46" fontId="0" fillId="0" borderId="2" xfId="0" quotePrefix="1" applyNumberFormat="1" applyBorder="1" applyAlignment="1">
      <alignment horizontal="center" vertical="center" wrapText="1"/>
    </xf>
    <xf numFmtId="46" fontId="0" fillId="0" borderId="13" xfId="0" quotePrefix="1" applyNumberFormat="1" applyBorder="1" applyAlignment="1">
      <alignment horizontal="center" vertical="center" wrapText="1"/>
    </xf>
    <xf numFmtId="46" fontId="0" fillId="0" borderId="4" xfId="0" quotePrefix="1" applyNumberFormat="1" applyBorder="1" applyAlignment="1">
      <alignment horizontal="center" vertical="center" wrapText="1"/>
    </xf>
    <xf numFmtId="46" fontId="0" fillId="0" borderId="5" xfId="0" quotePrefix="1" applyNumberFormat="1" applyBorder="1" applyAlignment="1">
      <alignment horizontal="center" vertical="center" wrapText="1"/>
    </xf>
    <xf numFmtId="46" fontId="0" fillId="0" borderId="14" xfId="0" quotePrefix="1" applyNumberFormat="1" applyBorder="1" applyAlignment="1">
      <alignment horizontal="center" vertical="center" wrapText="1"/>
    </xf>
    <xf numFmtId="46" fontId="0" fillId="0" borderId="11" xfId="0" quotePrefix="1" applyNumberFormat="1" applyBorder="1" applyAlignment="1">
      <alignment horizontal="center" vertical="center" wrapText="1"/>
    </xf>
    <xf numFmtId="46" fontId="0" fillId="0" borderId="12" xfId="0" quotePrefix="1" applyNumberForma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21" fontId="0" fillId="0" borderId="1" xfId="0" quotePrefix="1" applyNumberFormat="1" applyBorder="1" applyAlignment="1">
      <alignment horizontal="center" vertical="center" wrapText="1"/>
    </xf>
    <xf numFmtId="21" fontId="0" fillId="0" borderId="13" xfId="0" quotePrefix="1" applyNumberFormat="1" applyBorder="1" applyAlignment="1">
      <alignment horizontal="center" vertical="center" wrapText="1"/>
    </xf>
    <xf numFmtId="21" fontId="0" fillId="0" borderId="4" xfId="0" quotePrefix="1" applyNumberFormat="1" applyBorder="1" applyAlignment="1">
      <alignment horizontal="center" vertical="center" wrapText="1"/>
    </xf>
    <xf numFmtId="21" fontId="0" fillId="0" borderId="14" xfId="0" quotePrefix="1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1" fillId="0" borderId="11" xfId="1" quotePrefix="1" applyBorder="1" applyAlignment="1">
      <alignment horizontal="center" vertical="center" wrapText="1"/>
    </xf>
    <xf numFmtId="0" fontId="1" fillId="0" borderId="13" xfId="1" quotePrefix="1" applyBorder="1" applyAlignment="1">
      <alignment horizontal="center" vertical="center" wrapText="1"/>
    </xf>
    <xf numFmtId="0" fontId="1" fillId="0" borderId="12" xfId="1" quotePrefix="1" applyBorder="1" applyAlignment="1">
      <alignment horizontal="center" vertical="center" wrapText="1"/>
    </xf>
    <xf numFmtId="0" fontId="1" fillId="0" borderId="14" xfId="1" quotePrefix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6" borderId="5" xfId="0" applyNumberFormat="1" applyFill="1" applyBorder="1" applyAlignment="1">
      <alignment horizontal="center" vertical="center" wrapText="1"/>
    </xf>
    <xf numFmtId="164" fontId="0" fillId="6" borderId="6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6" fontId="0" fillId="0" borderId="9" xfId="0" quotePrefix="1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uvaud.sharepoint.com/:u:/r/sites/ETML_INF4-21-25_Teams/Documents%20partages/P_APPRO-XCL/Project%20Handbook.zip?csf=1&amp;web=1&amp;e=dxYx5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8238-37B3-4840-8D98-438B63920EE2}">
  <dimension ref="B2:M144"/>
  <sheetViews>
    <sheetView zoomScaleNormal="100" workbookViewId="0">
      <selection activeCell="P89" sqref="P89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 customWidth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4</v>
      </c>
      <c r="E3" s="30" t="s">
        <v>1</v>
      </c>
      <c r="F3" s="31"/>
      <c r="G3" s="34" t="s">
        <v>9</v>
      </c>
      <c r="H3" s="36" t="s">
        <v>2</v>
      </c>
      <c r="I3" s="20">
        <v>45311</v>
      </c>
      <c r="J3" s="20"/>
      <c r="K3" s="18" t="s">
        <v>3</v>
      </c>
      <c r="L3" s="20">
        <v>45315</v>
      </c>
      <c r="M3" s="21"/>
    </row>
    <row r="4" spans="2:13" ht="15.75" thickBot="1" x14ac:dyDescent="0.3">
      <c r="B4" s="26"/>
      <c r="C4" s="27"/>
      <c r="D4" s="29"/>
      <c r="E4" s="32"/>
      <c r="F4" s="33"/>
      <c r="G4" s="35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SUM(L29,L38,L51,L64,L81)</f>
        <v>0.90625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ht="15" customHeight="1" x14ac:dyDescent="0.25">
      <c r="B17" s="62" t="s">
        <v>21</v>
      </c>
      <c r="C17" s="63"/>
      <c r="D17" s="42" t="s">
        <v>20</v>
      </c>
      <c r="E17" s="43"/>
      <c r="F17" s="43"/>
      <c r="G17" s="43"/>
      <c r="H17" s="43"/>
      <c r="I17" s="39"/>
      <c r="J17" s="42" t="s">
        <v>9</v>
      </c>
      <c r="K17" s="39"/>
      <c r="L17" s="46">
        <v>6.25E-2</v>
      </c>
      <c r="M17" s="47"/>
    </row>
    <row r="18" spans="2:13" ht="15.75" thickBot="1" x14ac:dyDescent="0.3">
      <c r="B18" s="64"/>
      <c r="C18" s="65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ht="15" customHeight="1" x14ac:dyDescent="0.25">
      <c r="B19" s="38" t="s">
        <v>22</v>
      </c>
      <c r="C19" s="39"/>
      <c r="D19" s="42" t="s">
        <v>9</v>
      </c>
      <c r="E19" s="43"/>
      <c r="F19" s="43"/>
      <c r="G19" s="43"/>
      <c r="H19" s="43"/>
      <c r="I19" s="39"/>
      <c r="J19" s="42" t="s">
        <v>9</v>
      </c>
      <c r="K19" s="39"/>
      <c r="L19" s="46">
        <v>6.25E-2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ht="15" customHeight="1" x14ac:dyDescent="0.25">
      <c r="B21" s="38" t="s">
        <v>23</v>
      </c>
      <c r="C21" s="39"/>
      <c r="D21" s="42"/>
      <c r="E21" s="43"/>
      <c r="F21" s="43"/>
      <c r="G21" s="43"/>
      <c r="H21" s="43"/>
      <c r="I21" s="39"/>
      <c r="J21" s="42"/>
      <c r="K21" s="39"/>
      <c r="L21" s="46">
        <v>4.1666666666666664E-2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ht="15" customHeight="1" x14ac:dyDescent="0.25">
      <c r="B23" s="38" t="s">
        <v>24</v>
      </c>
      <c r="C23" s="39"/>
      <c r="D23" s="42"/>
      <c r="E23" s="43"/>
      <c r="F23" s="43"/>
      <c r="G23" s="43"/>
      <c r="H23" s="43"/>
      <c r="I23" s="39"/>
      <c r="J23" s="42"/>
      <c r="K23" s="39"/>
      <c r="L23" s="46">
        <v>1.0416666666666666E-2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ht="15" customHeight="1" x14ac:dyDescent="0.25">
      <c r="B25" s="38" t="s">
        <v>25</v>
      </c>
      <c r="C25" s="39"/>
      <c r="D25" s="42" t="s">
        <v>26</v>
      </c>
      <c r="E25" s="43"/>
      <c r="F25" s="43"/>
      <c r="G25" s="43"/>
      <c r="H25" s="43"/>
      <c r="I25" s="39"/>
      <c r="J25" s="42"/>
      <c r="K25" s="39"/>
      <c r="L25" s="46">
        <v>2.0833333333333332E-2</v>
      </c>
      <c r="M25" s="47"/>
    </row>
    <row r="26" spans="2:13" ht="15.75" thickBot="1" x14ac:dyDescent="0.3">
      <c r="B26" s="40"/>
      <c r="C26" s="41"/>
      <c r="D26" s="44"/>
      <c r="E26" s="45"/>
      <c r="F26" s="45"/>
      <c r="G26" s="45"/>
      <c r="H26" s="45"/>
      <c r="I26" s="41"/>
      <c r="J26" s="44"/>
      <c r="K26" s="41"/>
      <c r="L26" s="48"/>
      <c r="M26" s="49"/>
    </row>
    <row r="27" spans="2:13" ht="15" customHeight="1" x14ac:dyDescent="0.25">
      <c r="B27" s="38" t="s">
        <v>31</v>
      </c>
      <c r="C27" s="39"/>
      <c r="D27" s="42"/>
      <c r="E27" s="43"/>
      <c r="F27" s="43"/>
      <c r="G27" s="43"/>
      <c r="H27" s="43"/>
      <c r="I27" s="39"/>
      <c r="J27" s="42"/>
      <c r="K27" s="39"/>
      <c r="L27" s="46">
        <v>2.0833333333333332E-2</v>
      </c>
      <c r="M27" s="47"/>
    </row>
    <row r="28" spans="2:13" ht="15.75" thickBot="1" x14ac:dyDescent="0.3">
      <c r="B28" s="40"/>
      <c r="C28" s="41"/>
      <c r="D28" s="44"/>
      <c r="E28" s="45"/>
      <c r="F28" s="45"/>
      <c r="G28" s="45"/>
      <c r="H28" s="45"/>
      <c r="I28" s="41"/>
      <c r="J28" s="44"/>
      <c r="K28" s="41"/>
      <c r="L28" s="48"/>
      <c r="M28" s="49"/>
    </row>
    <row r="29" spans="2:13" x14ac:dyDescent="0.25">
      <c r="B29" s="66" t="s">
        <v>8</v>
      </c>
      <c r="C29" s="67"/>
      <c r="D29" s="67"/>
      <c r="E29" s="67"/>
      <c r="F29" s="67"/>
      <c r="G29" s="67"/>
      <c r="H29" s="67"/>
      <c r="I29" s="67"/>
      <c r="J29" s="67"/>
      <c r="K29" s="67"/>
      <c r="L29" s="76">
        <f>SUM(L17:M28)</f>
        <v>0.21875</v>
      </c>
      <c r="M29" s="77"/>
    </row>
    <row r="30" spans="2:13" ht="15.75" thickBot="1" x14ac:dyDescent="0.3"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8"/>
      <c r="M30" s="79"/>
    </row>
    <row r="31" spans="2:13" ht="15.75" thickBot="1" x14ac:dyDescent="0.3"/>
    <row r="32" spans="2:13" x14ac:dyDescent="0.25">
      <c r="B32" s="14" t="s">
        <v>11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60"/>
    </row>
    <row r="33" spans="2:13" ht="15.75" thickBot="1" x14ac:dyDescent="0.3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61"/>
    </row>
    <row r="34" spans="2:13" ht="15" customHeight="1" x14ac:dyDescent="0.25">
      <c r="B34" s="8" t="s">
        <v>5</v>
      </c>
      <c r="C34" s="9"/>
      <c r="D34" s="8" t="s">
        <v>6</v>
      </c>
      <c r="E34" s="12"/>
      <c r="F34" s="12"/>
      <c r="G34" s="12"/>
      <c r="H34" s="12"/>
      <c r="I34" s="9"/>
      <c r="J34" s="8" t="s">
        <v>7</v>
      </c>
      <c r="K34" s="9"/>
      <c r="L34" s="8" t="s">
        <v>10</v>
      </c>
      <c r="M34" s="9"/>
    </row>
    <row r="35" spans="2:13" ht="15.75" thickBot="1" x14ac:dyDescent="0.3">
      <c r="B35" s="10"/>
      <c r="C35" s="11"/>
      <c r="D35" s="10"/>
      <c r="E35" s="13"/>
      <c r="F35" s="13"/>
      <c r="G35" s="13"/>
      <c r="H35" s="13"/>
      <c r="I35" s="11"/>
      <c r="J35" s="10"/>
      <c r="K35" s="11"/>
      <c r="L35" s="10"/>
      <c r="M35" s="11"/>
    </row>
    <row r="36" spans="2:13" x14ac:dyDescent="0.25">
      <c r="B36" s="8" t="s">
        <v>15</v>
      </c>
      <c r="C36" s="12"/>
      <c r="D36" s="12"/>
      <c r="E36" s="12"/>
      <c r="F36" s="12"/>
      <c r="G36" s="12"/>
      <c r="H36" s="12"/>
      <c r="I36" s="12"/>
      <c r="J36" s="12"/>
      <c r="K36" s="12"/>
      <c r="L36" s="70">
        <v>0</v>
      </c>
      <c r="M36" s="47"/>
    </row>
    <row r="37" spans="2:13" ht="15.75" thickBot="1" x14ac:dyDescent="0.3">
      <c r="B37" s="10"/>
      <c r="C37" s="13"/>
      <c r="D37" s="13"/>
      <c r="E37" s="13"/>
      <c r="F37" s="13"/>
      <c r="G37" s="13"/>
      <c r="H37" s="13"/>
      <c r="I37" s="13"/>
      <c r="J37" s="13"/>
      <c r="K37" s="13"/>
      <c r="L37" s="71"/>
      <c r="M37" s="49"/>
    </row>
    <row r="38" spans="2:13" x14ac:dyDescent="0.25">
      <c r="B38" s="66" t="s">
        <v>8</v>
      </c>
      <c r="C38" s="67"/>
      <c r="D38" s="67"/>
      <c r="E38" s="67"/>
      <c r="F38" s="67"/>
      <c r="G38" s="67"/>
      <c r="H38" s="67"/>
      <c r="I38" s="67"/>
      <c r="J38" s="67"/>
      <c r="K38" s="67"/>
      <c r="L38" s="76">
        <f>SUM(L37:M37)</f>
        <v>0</v>
      </c>
      <c r="M38" s="77"/>
    </row>
    <row r="39" spans="2:13" ht="15.75" thickBot="1" x14ac:dyDescent="0.3">
      <c r="B39" s="68"/>
      <c r="C39" s="69"/>
      <c r="D39" s="69"/>
      <c r="E39" s="69"/>
      <c r="F39" s="69"/>
      <c r="G39" s="69"/>
      <c r="H39" s="69"/>
      <c r="I39" s="69"/>
      <c r="J39" s="69"/>
      <c r="K39" s="69"/>
      <c r="L39" s="78"/>
      <c r="M39" s="79"/>
    </row>
    <row r="40" spans="2:13" ht="15.75" thickBot="1" x14ac:dyDescent="0.3"/>
    <row r="41" spans="2:13" x14ac:dyDescent="0.25">
      <c r="B41" s="14" t="s">
        <v>12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60"/>
    </row>
    <row r="42" spans="2:13" ht="15.75" thickBot="1" x14ac:dyDescent="0.3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61"/>
    </row>
    <row r="43" spans="2:13" ht="15" customHeight="1" x14ac:dyDescent="0.25">
      <c r="B43" s="8" t="s">
        <v>5</v>
      </c>
      <c r="C43" s="9"/>
      <c r="D43" s="8" t="s">
        <v>6</v>
      </c>
      <c r="E43" s="12"/>
      <c r="F43" s="12"/>
      <c r="G43" s="12"/>
      <c r="H43" s="12"/>
      <c r="I43" s="9"/>
      <c r="J43" s="8" t="s">
        <v>7</v>
      </c>
      <c r="K43" s="9"/>
      <c r="L43" s="8" t="s">
        <v>10</v>
      </c>
      <c r="M43" s="9"/>
    </row>
    <row r="44" spans="2:13" ht="15.75" thickBot="1" x14ac:dyDescent="0.3">
      <c r="B44" s="10"/>
      <c r="C44" s="11"/>
      <c r="D44" s="10"/>
      <c r="E44" s="13"/>
      <c r="F44" s="13"/>
      <c r="G44" s="13"/>
      <c r="H44" s="13"/>
      <c r="I44" s="11"/>
      <c r="J44" s="10"/>
      <c r="K44" s="11"/>
      <c r="L44" s="10"/>
      <c r="M44" s="11"/>
    </row>
    <row r="45" spans="2:13" ht="15" customHeight="1" x14ac:dyDescent="0.25">
      <c r="B45" s="38" t="s">
        <v>27</v>
      </c>
      <c r="C45" s="39"/>
      <c r="D45" s="42" t="s">
        <v>28</v>
      </c>
      <c r="E45" s="43"/>
      <c r="F45" s="43"/>
      <c r="G45" s="43"/>
      <c r="H45" s="43"/>
      <c r="I45" s="39"/>
      <c r="J45" s="42"/>
      <c r="K45" s="39"/>
      <c r="L45" s="46">
        <v>3.125E-2</v>
      </c>
      <c r="M45" s="47"/>
    </row>
    <row r="46" spans="2:13" ht="15.75" thickBot="1" x14ac:dyDescent="0.3">
      <c r="B46" s="40"/>
      <c r="C46" s="41"/>
      <c r="D46" s="44"/>
      <c r="E46" s="45"/>
      <c r="F46" s="45"/>
      <c r="G46" s="45"/>
      <c r="H46" s="45"/>
      <c r="I46" s="41"/>
      <c r="J46" s="44"/>
      <c r="K46" s="41"/>
      <c r="L46" s="48"/>
      <c r="M46" s="49"/>
    </row>
    <row r="47" spans="2:13" ht="15" customHeight="1" x14ac:dyDescent="0.25">
      <c r="B47" s="38" t="s">
        <v>29</v>
      </c>
      <c r="C47" s="39"/>
      <c r="D47" s="42" t="s">
        <v>30</v>
      </c>
      <c r="E47" s="43"/>
      <c r="F47" s="43"/>
      <c r="G47" s="43"/>
      <c r="H47" s="43"/>
      <c r="I47" s="39"/>
      <c r="J47" s="42"/>
      <c r="K47" s="39"/>
      <c r="L47" s="46">
        <v>0.15625</v>
      </c>
      <c r="M47" s="47"/>
    </row>
    <row r="48" spans="2:13" ht="15.75" thickBot="1" x14ac:dyDescent="0.3">
      <c r="B48" s="40"/>
      <c r="C48" s="41"/>
      <c r="D48" s="44"/>
      <c r="E48" s="45"/>
      <c r="F48" s="45"/>
      <c r="G48" s="45"/>
      <c r="H48" s="45"/>
      <c r="I48" s="41"/>
      <c r="J48" s="44"/>
      <c r="K48" s="41"/>
      <c r="L48" s="48"/>
      <c r="M48" s="49"/>
    </row>
    <row r="49" spans="2:13" ht="15" customHeight="1" x14ac:dyDescent="0.25">
      <c r="B49" s="38" t="s">
        <v>25</v>
      </c>
      <c r="C49" s="39"/>
      <c r="D49" s="42" t="s">
        <v>35</v>
      </c>
      <c r="E49" s="43"/>
      <c r="F49" s="43"/>
      <c r="G49" s="43"/>
      <c r="H49" s="43"/>
      <c r="I49" s="39"/>
      <c r="J49" s="42"/>
      <c r="K49" s="39"/>
      <c r="L49" s="46">
        <v>9.375E-2</v>
      </c>
      <c r="M49" s="47"/>
    </row>
    <row r="50" spans="2:13" ht="15.75" thickBot="1" x14ac:dyDescent="0.3">
      <c r="B50" s="40"/>
      <c r="C50" s="41"/>
      <c r="D50" s="44"/>
      <c r="E50" s="45"/>
      <c r="F50" s="45"/>
      <c r="G50" s="45"/>
      <c r="H50" s="45"/>
      <c r="I50" s="41"/>
      <c r="J50" s="44"/>
      <c r="K50" s="41"/>
      <c r="L50" s="48"/>
      <c r="M50" s="49"/>
    </row>
    <row r="51" spans="2:13" x14ac:dyDescent="0.25">
      <c r="B51" s="66" t="s">
        <v>8</v>
      </c>
      <c r="C51" s="67"/>
      <c r="D51" s="67"/>
      <c r="E51" s="67"/>
      <c r="F51" s="67"/>
      <c r="G51" s="67"/>
      <c r="H51" s="67"/>
      <c r="I51" s="67"/>
      <c r="J51" s="67"/>
      <c r="K51" s="67"/>
      <c r="L51" s="76">
        <f>SUM(L45:M50)</f>
        <v>0.28125</v>
      </c>
      <c r="M51" s="77"/>
    </row>
    <row r="52" spans="2:13" ht="15.75" thickBot="1" x14ac:dyDescent="0.3"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78"/>
      <c r="M52" s="79"/>
    </row>
    <row r="53" spans="2:13" ht="15.75" thickBot="1" x14ac:dyDescent="0.3"/>
    <row r="54" spans="2:13" x14ac:dyDescent="0.25">
      <c r="B54" s="14" t="s">
        <v>13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60"/>
    </row>
    <row r="55" spans="2:13" ht="15.75" thickBot="1" x14ac:dyDescent="0.3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61"/>
    </row>
    <row r="56" spans="2:13" ht="15" customHeight="1" x14ac:dyDescent="0.25">
      <c r="B56" s="8" t="s">
        <v>5</v>
      </c>
      <c r="C56" s="9"/>
      <c r="D56" s="8" t="s">
        <v>6</v>
      </c>
      <c r="E56" s="12"/>
      <c r="F56" s="12"/>
      <c r="G56" s="12"/>
      <c r="H56" s="12"/>
      <c r="I56" s="9"/>
      <c r="J56" s="8" t="s">
        <v>7</v>
      </c>
      <c r="K56" s="9"/>
      <c r="L56" s="8" t="s">
        <v>10</v>
      </c>
      <c r="M56" s="9"/>
    </row>
    <row r="57" spans="2:13" ht="15.75" thickBot="1" x14ac:dyDescent="0.3">
      <c r="B57" s="10"/>
      <c r="C57" s="11"/>
      <c r="D57" s="10"/>
      <c r="E57" s="13"/>
      <c r="F57" s="13"/>
      <c r="G57" s="13"/>
      <c r="H57" s="13"/>
      <c r="I57" s="11"/>
      <c r="J57" s="10"/>
      <c r="K57" s="11"/>
      <c r="L57" s="10"/>
      <c r="M57" s="11"/>
    </row>
    <row r="58" spans="2:13" ht="15" customHeight="1" x14ac:dyDescent="0.25">
      <c r="B58" s="38" t="s">
        <v>25</v>
      </c>
      <c r="C58" s="39"/>
      <c r="D58" s="42" t="s">
        <v>32</v>
      </c>
      <c r="E58" s="43"/>
      <c r="F58" s="43"/>
      <c r="G58" s="43"/>
      <c r="H58" s="43"/>
      <c r="I58" s="39"/>
      <c r="J58" s="42"/>
      <c r="K58" s="39"/>
      <c r="L58" s="46">
        <v>2.0833333333333332E-2</v>
      </c>
      <c r="M58" s="47"/>
    </row>
    <row r="59" spans="2:13" ht="15.75" thickBot="1" x14ac:dyDescent="0.3">
      <c r="B59" s="40"/>
      <c r="C59" s="41"/>
      <c r="D59" s="44"/>
      <c r="E59" s="45"/>
      <c r="F59" s="45"/>
      <c r="G59" s="45"/>
      <c r="H59" s="45"/>
      <c r="I59" s="41"/>
      <c r="J59" s="44"/>
      <c r="K59" s="41"/>
      <c r="L59" s="48"/>
      <c r="M59" s="49"/>
    </row>
    <row r="60" spans="2:13" ht="15" customHeight="1" x14ac:dyDescent="0.25">
      <c r="B60" s="38" t="s">
        <v>25</v>
      </c>
      <c r="C60" s="39"/>
      <c r="D60" s="42" t="s">
        <v>33</v>
      </c>
      <c r="E60" s="43"/>
      <c r="F60" s="43"/>
      <c r="G60" s="43"/>
      <c r="H60" s="43"/>
      <c r="I60" s="39"/>
      <c r="J60" s="42"/>
      <c r="K60" s="39"/>
      <c r="L60" s="46">
        <v>4.1666666666666664E-2</v>
      </c>
      <c r="M60" s="47"/>
    </row>
    <row r="61" spans="2:13" ht="15.75" thickBot="1" x14ac:dyDescent="0.3">
      <c r="B61" s="40"/>
      <c r="C61" s="41"/>
      <c r="D61" s="44"/>
      <c r="E61" s="45"/>
      <c r="F61" s="45"/>
      <c r="G61" s="45"/>
      <c r="H61" s="45"/>
      <c r="I61" s="41"/>
      <c r="J61" s="44"/>
      <c r="K61" s="41"/>
      <c r="L61" s="48"/>
      <c r="M61" s="49"/>
    </row>
    <row r="62" spans="2:13" ht="15" customHeight="1" x14ac:dyDescent="0.25">
      <c r="B62" s="38" t="s">
        <v>36</v>
      </c>
      <c r="C62" s="39"/>
      <c r="D62" s="42" t="s">
        <v>37</v>
      </c>
      <c r="E62" s="43"/>
      <c r="F62" s="43"/>
      <c r="G62" s="43"/>
      <c r="H62" s="43"/>
      <c r="I62" s="39"/>
      <c r="J62" s="42"/>
      <c r="K62" s="39"/>
      <c r="L62" s="46">
        <v>6.25E-2</v>
      </c>
      <c r="M62" s="47"/>
    </row>
    <row r="63" spans="2:13" ht="15.75" thickBot="1" x14ac:dyDescent="0.3">
      <c r="B63" s="40"/>
      <c r="C63" s="41"/>
      <c r="D63" s="44"/>
      <c r="E63" s="45"/>
      <c r="F63" s="45"/>
      <c r="G63" s="45"/>
      <c r="H63" s="45"/>
      <c r="I63" s="41"/>
      <c r="J63" s="44"/>
      <c r="K63" s="41"/>
      <c r="L63" s="48"/>
      <c r="M63" s="49"/>
    </row>
    <row r="64" spans="2:13" x14ac:dyDescent="0.25">
      <c r="B64" s="66" t="s">
        <v>8</v>
      </c>
      <c r="C64" s="67"/>
      <c r="D64" s="67"/>
      <c r="E64" s="67"/>
      <c r="F64" s="67"/>
      <c r="G64" s="67"/>
      <c r="H64" s="67"/>
      <c r="I64" s="67"/>
      <c r="J64" s="67"/>
      <c r="K64" s="67"/>
      <c r="L64" s="76">
        <f>SUM(L58:M63)</f>
        <v>0.125</v>
      </c>
      <c r="M64" s="77"/>
    </row>
    <row r="65" spans="2:13" ht="15.75" thickBot="1" x14ac:dyDescent="0.3">
      <c r="B65" s="68"/>
      <c r="C65" s="69"/>
      <c r="D65" s="69"/>
      <c r="E65" s="69"/>
      <c r="F65" s="69"/>
      <c r="G65" s="69"/>
      <c r="H65" s="69"/>
      <c r="I65" s="69"/>
      <c r="J65" s="69"/>
      <c r="K65" s="69"/>
      <c r="L65" s="78"/>
      <c r="M65" s="79"/>
    </row>
    <row r="66" spans="2:13" ht="15.75" thickBot="1" x14ac:dyDescent="0.3"/>
    <row r="67" spans="2:13" x14ac:dyDescent="0.25">
      <c r="B67" s="14" t="s">
        <v>14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60"/>
    </row>
    <row r="68" spans="2:13" ht="15.75" thickBot="1" x14ac:dyDescent="0.3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61"/>
    </row>
    <row r="69" spans="2:13" ht="15" customHeight="1" x14ac:dyDescent="0.25">
      <c r="B69" s="8" t="s">
        <v>5</v>
      </c>
      <c r="C69" s="9"/>
      <c r="D69" s="8" t="s">
        <v>6</v>
      </c>
      <c r="E69" s="12"/>
      <c r="F69" s="12"/>
      <c r="G69" s="12"/>
      <c r="H69" s="12"/>
      <c r="I69" s="9"/>
      <c r="J69" s="8" t="s">
        <v>7</v>
      </c>
      <c r="K69" s="9"/>
      <c r="L69" s="8" t="s">
        <v>10</v>
      </c>
      <c r="M69" s="9"/>
    </row>
    <row r="70" spans="2:13" ht="15.75" thickBot="1" x14ac:dyDescent="0.3">
      <c r="B70" s="10"/>
      <c r="C70" s="11"/>
      <c r="D70" s="10"/>
      <c r="E70" s="13"/>
      <c r="F70" s="13"/>
      <c r="G70" s="13"/>
      <c r="H70" s="13"/>
      <c r="I70" s="11"/>
      <c r="J70" s="10"/>
      <c r="K70" s="11"/>
      <c r="L70" s="10"/>
      <c r="M70" s="11"/>
    </row>
    <row r="71" spans="2:13" ht="15" customHeight="1" x14ac:dyDescent="0.25">
      <c r="B71" s="38" t="s">
        <v>25</v>
      </c>
      <c r="C71" s="39"/>
      <c r="D71" s="42" t="s">
        <v>34</v>
      </c>
      <c r="E71" s="43"/>
      <c r="F71" s="43"/>
      <c r="G71" s="43"/>
      <c r="H71" s="43"/>
      <c r="I71" s="39"/>
      <c r="J71" s="72" t="s">
        <v>41</v>
      </c>
      <c r="K71" s="73"/>
      <c r="L71" s="46">
        <v>3.125E-2</v>
      </c>
      <c r="M71" s="47"/>
    </row>
    <row r="72" spans="2:13" ht="15.75" thickBot="1" x14ac:dyDescent="0.3">
      <c r="B72" s="40"/>
      <c r="C72" s="41"/>
      <c r="D72" s="44"/>
      <c r="E72" s="45"/>
      <c r="F72" s="45"/>
      <c r="G72" s="45"/>
      <c r="H72" s="45"/>
      <c r="I72" s="41"/>
      <c r="J72" s="74"/>
      <c r="K72" s="75"/>
      <c r="L72" s="48"/>
      <c r="M72" s="49"/>
    </row>
    <row r="73" spans="2:13" ht="15" customHeight="1" x14ac:dyDescent="0.25">
      <c r="B73" s="38" t="s">
        <v>36</v>
      </c>
      <c r="C73" s="39"/>
      <c r="D73" s="42" t="s">
        <v>38</v>
      </c>
      <c r="E73" s="43"/>
      <c r="F73" s="43"/>
      <c r="G73" s="43"/>
      <c r="H73" s="43"/>
      <c r="I73" s="39"/>
      <c r="J73" s="42" t="s">
        <v>42</v>
      </c>
      <c r="K73" s="39"/>
      <c r="L73" s="46">
        <v>5.2083333333333336E-2</v>
      </c>
      <c r="M73" s="47"/>
    </row>
    <row r="74" spans="2:13" ht="15.75" thickBot="1" x14ac:dyDescent="0.3">
      <c r="B74" s="40"/>
      <c r="C74" s="41"/>
      <c r="D74" s="44"/>
      <c r="E74" s="45"/>
      <c r="F74" s="45"/>
      <c r="G74" s="45"/>
      <c r="H74" s="45"/>
      <c r="I74" s="41"/>
      <c r="J74" s="44"/>
      <c r="K74" s="41"/>
      <c r="L74" s="48"/>
      <c r="M74" s="49"/>
    </row>
    <row r="75" spans="2:13" ht="15" customHeight="1" x14ac:dyDescent="0.25">
      <c r="B75" s="38" t="s">
        <v>36</v>
      </c>
      <c r="C75" s="39"/>
      <c r="D75" s="42" t="s">
        <v>44</v>
      </c>
      <c r="E75" s="43"/>
      <c r="F75" s="43"/>
      <c r="G75" s="43"/>
      <c r="H75" s="43"/>
      <c r="I75" s="39"/>
      <c r="J75" s="42" t="s">
        <v>42</v>
      </c>
      <c r="K75" s="39"/>
      <c r="L75" s="46">
        <v>8.3333333333333329E-2</v>
      </c>
      <c r="M75" s="47"/>
    </row>
    <row r="76" spans="2:13" ht="15.75" thickBot="1" x14ac:dyDescent="0.3">
      <c r="B76" s="40"/>
      <c r="C76" s="41"/>
      <c r="D76" s="44"/>
      <c r="E76" s="45"/>
      <c r="F76" s="45"/>
      <c r="G76" s="45"/>
      <c r="H76" s="45"/>
      <c r="I76" s="41"/>
      <c r="J76" s="44"/>
      <c r="K76" s="41"/>
      <c r="L76" s="48"/>
      <c r="M76" s="49"/>
    </row>
    <row r="77" spans="2:13" ht="15" customHeight="1" x14ac:dyDescent="0.25">
      <c r="B77" s="38" t="s">
        <v>39</v>
      </c>
      <c r="C77" s="39"/>
      <c r="D77" s="42" t="s">
        <v>40</v>
      </c>
      <c r="E77" s="43"/>
      <c r="F77" s="43"/>
      <c r="G77" s="43"/>
      <c r="H77" s="43"/>
      <c r="I77" s="39"/>
      <c r="J77" s="42" t="s">
        <v>43</v>
      </c>
      <c r="K77" s="39"/>
      <c r="L77" s="46">
        <v>7.2916666666666671E-2</v>
      </c>
      <c r="M77" s="47"/>
    </row>
    <row r="78" spans="2:13" ht="15.75" thickBot="1" x14ac:dyDescent="0.3">
      <c r="B78" s="40"/>
      <c r="C78" s="41"/>
      <c r="D78" s="44"/>
      <c r="E78" s="45"/>
      <c r="F78" s="45"/>
      <c r="G78" s="45"/>
      <c r="H78" s="45"/>
      <c r="I78" s="41"/>
      <c r="J78" s="44"/>
      <c r="K78" s="41"/>
      <c r="L78" s="48"/>
      <c r="M78" s="49"/>
    </row>
    <row r="79" spans="2:13" ht="15" customHeight="1" x14ac:dyDescent="0.25">
      <c r="B79" s="38" t="s">
        <v>45</v>
      </c>
      <c r="C79" s="39"/>
      <c r="D79" s="42" t="s">
        <v>46</v>
      </c>
      <c r="E79" s="43"/>
      <c r="F79" s="43"/>
      <c r="G79" s="43"/>
      <c r="H79" s="43"/>
      <c r="I79" s="39"/>
      <c r="J79" s="42"/>
      <c r="K79" s="39"/>
      <c r="L79" s="46">
        <v>4.1666666666666664E-2</v>
      </c>
      <c r="M79" s="47"/>
    </row>
    <row r="80" spans="2:13" ht="15.75" thickBot="1" x14ac:dyDescent="0.3">
      <c r="B80" s="40"/>
      <c r="C80" s="41"/>
      <c r="D80" s="44"/>
      <c r="E80" s="45"/>
      <c r="F80" s="45"/>
      <c r="G80" s="45"/>
      <c r="H80" s="45"/>
      <c r="I80" s="41"/>
      <c r="J80" s="44"/>
      <c r="K80" s="41"/>
      <c r="L80" s="48"/>
      <c r="M80" s="49"/>
    </row>
    <row r="81" spans="2:13" x14ac:dyDescent="0.25">
      <c r="B81" s="66" t="s">
        <v>8</v>
      </c>
      <c r="C81" s="67"/>
      <c r="D81" s="67"/>
      <c r="E81" s="67"/>
      <c r="F81" s="67"/>
      <c r="G81" s="67"/>
      <c r="H81" s="67"/>
      <c r="I81" s="67"/>
      <c r="J81" s="67"/>
      <c r="K81" s="67"/>
      <c r="L81" s="76">
        <f>SUM(L71:M80)</f>
        <v>0.28125000000000006</v>
      </c>
      <c r="M81" s="77"/>
    </row>
    <row r="82" spans="2:13" ht="15.75" thickBot="1" x14ac:dyDescent="0.3">
      <c r="B82" s="68"/>
      <c r="C82" s="69"/>
      <c r="D82" s="69"/>
      <c r="E82" s="69"/>
      <c r="F82" s="69"/>
      <c r="G82" s="69"/>
      <c r="H82" s="69"/>
      <c r="I82" s="69"/>
      <c r="J82" s="69"/>
      <c r="K82" s="69"/>
      <c r="L82" s="78"/>
      <c r="M82" s="79"/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</sheetData>
  <mergeCells count="135">
    <mergeCell ref="B58:C59"/>
    <mergeCell ref="D58:I59"/>
    <mergeCell ref="J58:K59"/>
    <mergeCell ref="L58:M59"/>
    <mergeCell ref="D49:I50"/>
    <mergeCell ref="J49:K50"/>
    <mergeCell ref="L49:M50"/>
    <mergeCell ref="B51:C52"/>
    <mergeCell ref="D51:K52"/>
    <mergeCell ref="L51:M52"/>
    <mergeCell ref="B54:K55"/>
    <mergeCell ref="L54:M55"/>
    <mergeCell ref="B56:C57"/>
    <mergeCell ref="D56:I57"/>
    <mergeCell ref="J56:K57"/>
    <mergeCell ref="L56:M57"/>
    <mergeCell ref="B43:C44"/>
    <mergeCell ref="D43:I44"/>
    <mergeCell ref="J43:K44"/>
    <mergeCell ref="L43:M44"/>
    <mergeCell ref="B45:C46"/>
    <mergeCell ref="D45:I46"/>
    <mergeCell ref="J45:K46"/>
    <mergeCell ref="L45:M46"/>
    <mergeCell ref="B64:C65"/>
    <mergeCell ref="D64:K65"/>
    <mergeCell ref="L64:M65"/>
    <mergeCell ref="B62:C63"/>
    <mergeCell ref="D62:I63"/>
    <mergeCell ref="J62:K63"/>
    <mergeCell ref="L62:M63"/>
    <mergeCell ref="B60:C61"/>
    <mergeCell ref="D60:I61"/>
    <mergeCell ref="J60:K61"/>
    <mergeCell ref="L60:M61"/>
    <mergeCell ref="B47:C48"/>
    <mergeCell ref="D47:I48"/>
    <mergeCell ref="J47:K48"/>
    <mergeCell ref="L47:M48"/>
    <mergeCell ref="B49:C50"/>
    <mergeCell ref="B81:C82"/>
    <mergeCell ref="D81:K82"/>
    <mergeCell ref="L81:M82"/>
    <mergeCell ref="L29:M30"/>
    <mergeCell ref="B38:C39"/>
    <mergeCell ref="D38:K39"/>
    <mergeCell ref="L38:M39"/>
    <mergeCell ref="B36:C37"/>
    <mergeCell ref="D36:I37"/>
    <mergeCell ref="J36:K37"/>
    <mergeCell ref="B79:C80"/>
    <mergeCell ref="D79:I80"/>
    <mergeCell ref="J79:K80"/>
    <mergeCell ref="L79:M80"/>
    <mergeCell ref="B75:C76"/>
    <mergeCell ref="D75:I76"/>
    <mergeCell ref="J75:K76"/>
    <mergeCell ref="L75:M76"/>
    <mergeCell ref="B77:C78"/>
    <mergeCell ref="D77:I78"/>
    <mergeCell ref="J77:K78"/>
    <mergeCell ref="L77:M78"/>
    <mergeCell ref="B71:C72"/>
    <mergeCell ref="D71:I72"/>
    <mergeCell ref="J71:K72"/>
    <mergeCell ref="L71:M72"/>
    <mergeCell ref="B73:C74"/>
    <mergeCell ref="D73:I74"/>
    <mergeCell ref="J73:K74"/>
    <mergeCell ref="L73:M74"/>
    <mergeCell ref="B67:K68"/>
    <mergeCell ref="L67:M68"/>
    <mergeCell ref="B69:C70"/>
    <mergeCell ref="D69:I70"/>
    <mergeCell ref="J69:K70"/>
    <mergeCell ref="L69:M70"/>
    <mergeCell ref="B41:K42"/>
    <mergeCell ref="L41:M42"/>
    <mergeCell ref="L36:M37"/>
    <mergeCell ref="B32:K33"/>
    <mergeCell ref="L32:M33"/>
    <mergeCell ref="B34:C35"/>
    <mergeCell ref="D34:I35"/>
    <mergeCell ref="J34:K35"/>
    <mergeCell ref="L34:M35"/>
    <mergeCell ref="B29:C30"/>
    <mergeCell ref="D29:K30"/>
    <mergeCell ref="B25:C26"/>
    <mergeCell ref="D25:I26"/>
    <mergeCell ref="J25:K26"/>
    <mergeCell ref="L25:M26"/>
    <mergeCell ref="B27:C28"/>
    <mergeCell ref="D27:I28"/>
    <mergeCell ref="J27:K28"/>
    <mergeCell ref="L27:M28"/>
    <mergeCell ref="B21:C22"/>
    <mergeCell ref="D21:I22"/>
    <mergeCell ref="J21:K22"/>
    <mergeCell ref="L21:M22"/>
    <mergeCell ref="B23:C24"/>
    <mergeCell ref="D23:I24"/>
    <mergeCell ref="J23:K24"/>
    <mergeCell ref="L23:M24"/>
    <mergeCell ref="L10:M11"/>
    <mergeCell ref="B10:C11"/>
    <mergeCell ref="D10:I11"/>
    <mergeCell ref="J10:K11"/>
    <mergeCell ref="L13:M14"/>
    <mergeCell ref="D15:I16"/>
    <mergeCell ref="J15:K16"/>
    <mergeCell ref="J17:K18"/>
    <mergeCell ref="D17:I18"/>
    <mergeCell ref="B17:C18"/>
    <mergeCell ref="L19:M20"/>
    <mergeCell ref="J19:K20"/>
    <mergeCell ref="D19:I20"/>
    <mergeCell ref="B19:C20"/>
    <mergeCell ref="L17:M18"/>
    <mergeCell ref="B6:K7"/>
    <mergeCell ref="L6:M7"/>
    <mergeCell ref="B8:C9"/>
    <mergeCell ref="D8:I9"/>
    <mergeCell ref="J8:K9"/>
    <mergeCell ref="B13:K14"/>
    <mergeCell ref="B15:C16"/>
    <mergeCell ref="L15:M16"/>
    <mergeCell ref="K3:K4"/>
    <mergeCell ref="L3:M4"/>
    <mergeCell ref="L8:M9"/>
    <mergeCell ref="B3:C4"/>
    <mergeCell ref="D3:D4"/>
    <mergeCell ref="E3:F4"/>
    <mergeCell ref="G3:G4"/>
    <mergeCell ref="H3:H4"/>
    <mergeCell ref="I3:J4"/>
  </mergeCells>
  <hyperlinks>
    <hyperlink ref="J71" r:id="rId1" xr:uid="{9F4FC961-BB30-4493-869D-B5F4BB42EDE3}"/>
  </hyperlink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A431-75B1-48EC-8BBA-DB028C5936E4}">
  <dimension ref="B2:M72"/>
  <sheetViews>
    <sheetView workbookViewId="0">
      <selection activeCell="P89" sqref="P89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5</v>
      </c>
      <c r="E3" s="30" t="s">
        <v>1</v>
      </c>
      <c r="F3" s="31"/>
      <c r="G3" s="85">
        <v>1</v>
      </c>
      <c r="H3" s="36" t="s">
        <v>2</v>
      </c>
      <c r="I3" s="20">
        <v>45318</v>
      </c>
      <c r="J3" s="18"/>
      <c r="K3" s="18" t="s">
        <v>3</v>
      </c>
      <c r="L3" s="20">
        <v>45322</v>
      </c>
      <c r="M3" s="80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19"/>
      <c r="J4" s="19"/>
      <c r="K4" s="19"/>
      <c r="L4" s="19"/>
      <c r="M4" s="81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12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82"/>
      <c r="E9" s="83"/>
      <c r="F9" s="83"/>
      <c r="G9" s="83"/>
      <c r="H9" s="83"/>
      <c r="I9" s="83"/>
      <c r="J9" s="82"/>
      <c r="K9" s="84"/>
      <c r="L9" s="10"/>
      <c r="M9" s="11"/>
    </row>
    <row r="10" spans="2:13" x14ac:dyDescent="0.25">
      <c r="B10" s="50">
        <f>SUM(L25,L34,L51,L62,L71)</f>
        <v>0.90625</v>
      </c>
      <c r="C10" s="47"/>
      <c r="D10" s="87">
        <v>0.90625</v>
      </c>
      <c r="E10" s="88"/>
      <c r="F10" s="88"/>
      <c r="G10" s="88"/>
      <c r="H10" s="88"/>
      <c r="I10" s="88"/>
      <c r="J10" s="87">
        <f>D10-B10</f>
        <v>0</v>
      </c>
      <c r="K10" s="88"/>
      <c r="L10" s="46">
        <f>IF(J10=0,B10-D10,0)</f>
        <v>0</v>
      </c>
      <c r="M10" s="47"/>
    </row>
    <row r="11" spans="2:13" ht="15.75" thickBot="1" x14ac:dyDescent="0.3">
      <c r="B11" s="51"/>
      <c r="C11" s="49"/>
      <c r="D11" s="89"/>
      <c r="E11" s="89"/>
      <c r="F11" s="89"/>
      <c r="G11" s="89"/>
      <c r="H11" s="89"/>
      <c r="I11" s="89"/>
      <c r="J11" s="89"/>
      <c r="K11" s="89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x14ac:dyDescent="0.25">
      <c r="B17" s="38" t="s">
        <v>47</v>
      </c>
      <c r="C17" s="39"/>
      <c r="D17" s="42" t="s">
        <v>48</v>
      </c>
      <c r="E17" s="43"/>
      <c r="F17" s="43"/>
      <c r="G17" s="43"/>
      <c r="H17" s="43"/>
      <c r="I17" s="39"/>
      <c r="J17" s="42"/>
      <c r="K17" s="39"/>
      <c r="L17" s="46">
        <v>6.9444444444444441E-3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x14ac:dyDescent="0.25">
      <c r="B19" s="38" t="s">
        <v>49</v>
      </c>
      <c r="C19" s="39"/>
      <c r="D19" s="42" t="s">
        <v>50</v>
      </c>
      <c r="E19" s="43"/>
      <c r="F19" s="43"/>
      <c r="G19" s="43"/>
      <c r="H19" s="43"/>
      <c r="I19" s="39"/>
      <c r="J19" s="42"/>
      <c r="K19" s="39"/>
      <c r="L19" s="46">
        <v>0.16666666666666666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x14ac:dyDescent="0.25">
      <c r="B21" s="38" t="s">
        <v>51</v>
      </c>
      <c r="C21" s="39"/>
      <c r="D21" s="42" t="s">
        <v>52</v>
      </c>
      <c r="E21" s="43"/>
      <c r="F21" s="43"/>
      <c r="G21" s="43"/>
      <c r="H21" s="43"/>
      <c r="I21" s="39"/>
      <c r="J21" s="42"/>
      <c r="K21" s="39"/>
      <c r="L21" s="46">
        <v>3.125E-2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x14ac:dyDescent="0.25">
      <c r="B23" s="38" t="s">
        <v>53</v>
      </c>
      <c r="C23" s="39"/>
      <c r="D23" s="42" t="s">
        <v>54</v>
      </c>
      <c r="E23" s="43"/>
      <c r="F23" s="43"/>
      <c r="G23" s="43"/>
      <c r="H23" s="43"/>
      <c r="I23" s="39"/>
      <c r="J23" s="42"/>
      <c r="K23" s="39"/>
      <c r="L23" s="46">
        <v>1.3888888888888888E-2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x14ac:dyDescent="0.25">
      <c r="B25" s="66" t="s">
        <v>8</v>
      </c>
      <c r="C25" s="67"/>
      <c r="D25" s="67"/>
      <c r="E25" s="67"/>
      <c r="F25" s="67"/>
      <c r="G25" s="67"/>
      <c r="H25" s="67"/>
      <c r="I25" s="67"/>
      <c r="J25" s="67"/>
      <c r="K25" s="67"/>
      <c r="L25" s="76">
        <f>SUM(L17:M24)</f>
        <v>0.21875</v>
      </c>
      <c r="M25" s="90"/>
    </row>
    <row r="26" spans="2:13" ht="15.75" thickBot="1" x14ac:dyDescent="0.3"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91"/>
    </row>
    <row r="27" spans="2:13" ht="15.75" thickBot="1" x14ac:dyDescent="0.3"/>
    <row r="28" spans="2:13" x14ac:dyDescent="0.25">
      <c r="B28" s="14" t="s">
        <v>11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60"/>
    </row>
    <row r="29" spans="2:13" ht="15.75" thickBot="1" x14ac:dyDescent="0.3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61"/>
    </row>
    <row r="30" spans="2:13" x14ac:dyDescent="0.25">
      <c r="B30" s="8" t="s">
        <v>5</v>
      </c>
      <c r="C30" s="9"/>
      <c r="D30" s="8" t="s">
        <v>6</v>
      </c>
      <c r="E30" s="12"/>
      <c r="F30" s="12"/>
      <c r="G30" s="12"/>
      <c r="H30" s="12"/>
      <c r="I30" s="9"/>
      <c r="J30" s="8" t="s">
        <v>7</v>
      </c>
      <c r="K30" s="9"/>
      <c r="L30" s="8" t="s">
        <v>10</v>
      </c>
      <c r="M30" s="9"/>
    </row>
    <row r="31" spans="2:13" ht="15.75" thickBot="1" x14ac:dyDescent="0.3">
      <c r="B31" s="10"/>
      <c r="C31" s="11"/>
      <c r="D31" s="10"/>
      <c r="E31" s="13"/>
      <c r="F31" s="13"/>
      <c r="G31" s="13"/>
      <c r="H31" s="13"/>
      <c r="I31" s="11"/>
      <c r="J31" s="10"/>
      <c r="K31" s="11"/>
      <c r="L31" s="10"/>
      <c r="M31" s="11"/>
    </row>
    <row r="32" spans="2:13" x14ac:dyDescent="0.25">
      <c r="B32" s="8" t="s">
        <v>15</v>
      </c>
      <c r="C32" s="12"/>
      <c r="D32" s="12"/>
      <c r="E32" s="12"/>
      <c r="F32" s="12"/>
      <c r="G32" s="12"/>
      <c r="H32" s="12"/>
      <c r="I32" s="12"/>
      <c r="J32" s="12"/>
      <c r="K32" s="12"/>
      <c r="L32" s="70">
        <v>0</v>
      </c>
      <c r="M32" s="47"/>
    </row>
    <row r="33" spans="2:13" ht="15.75" thickBot="1" x14ac:dyDescent="0.3">
      <c r="B33" s="10"/>
      <c r="C33" s="13"/>
      <c r="D33" s="13"/>
      <c r="E33" s="13"/>
      <c r="F33" s="13"/>
      <c r="G33" s="13"/>
      <c r="H33" s="13"/>
      <c r="I33" s="13"/>
      <c r="J33" s="13"/>
      <c r="K33" s="13"/>
      <c r="L33" s="71"/>
      <c r="M33" s="49"/>
    </row>
    <row r="34" spans="2:13" x14ac:dyDescent="0.25">
      <c r="B34" s="66" t="s">
        <v>8</v>
      </c>
      <c r="C34" s="67"/>
      <c r="D34" s="67"/>
      <c r="E34" s="67"/>
      <c r="F34" s="67"/>
      <c r="G34" s="67"/>
      <c r="H34" s="67"/>
      <c r="I34" s="67"/>
      <c r="J34" s="67"/>
      <c r="K34" s="67"/>
      <c r="L34" s="76">
        <f>SUM(L33:M33)</f>
        <v>0</v>
      </c>
      <c r="M34" s="90"/>
    </row>
    <row r="35" spans="2:13" ht="15.75" thickBot="1" x14ac:dyDescent="0.3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91"/>
    </row>
    <row r="36" spans="2:13" ht="15.75" thickBot="1" x14ac:dyDescent="0.3"/>
    <row r="37" spans="2:13" x14ac:dyDescent="0.25">
      <c r="B37" s="14" t="s">
        <v>12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60"/>
    </row>
    <row r="38" spans="2:13" ht="15.75" thickBot="1" x14ac:dyDescent="0.3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61"/>
    </row>
    <row r="39" spans="2:13" x14ac:dyDescent="0.25">
      <c r="B39" s="8" t="s">
        <v>5</v>
      </c>
      <c r="C39" s="9"/>
      <c r="D39" s="8" t="s">
        <v>6</v>
      </c>
      <c r="E39" s="12"/>
      <c r="F39" s="12"/>
      <c r="G39" s="12"/>
      <c r="H39" s="12"/>
      <c r="I39" s="9"/>
      <c r="J39" s="8" t="s">
        <v>7</v>
      </c>
      <c r="K39" s="9"/>
      <c r="L39" s="8" t="s">
        <v>10</v>
      </c>
      <c r="M39" s="9"/>
    </row>
    <row r="40" spans="2:13" ht="15.75" thickBot="1" x14ac:dyDescent="0.3">
      <c r="B40" s="10"/>
      <c r="C40" s="11"/>
      <c r="D40" s="10"/>
      <c r="E40" s="13"/>
      <c r="F40" s="13"/>
      <c r="G40" s="13"/>
      <c r="H40" s="13"/>
      <c r="I40" s="11"/>
      <c r="J40" s="10"/>
      <c r="K40" s="11"/>
      <c r="L40" s="10"/>
      <c r="M40" s="11"/>
    </row>
    <row r="41" spans="2:13" ht="15" customHeight="1" x14ac:dyDescent="0.25">
      <c r="B41" s="38" t="s">
        <v>53</v>
      </c>
      <c r="C41" s="39"/>
      <c r="D41" s="42" t="s">
        <v>54</v>
      </c>
      <c r="E41" s="43"/>
      <c r="F41" s="43"/>
      <c r="G41" s="43"/>
      <c r="H41" s="43"/>
      <c r="I41" s="39"/>
      <c r="J41" s="42"/>
      <c r="K41" s="39"/>
      <c r="L41" s="46">
        <v>3.125E-2</v>
      </c>
      <c r="M41" s="47"/>
    </row>
    <row r="42" spans="2:13" ht="15.75" thickBot="1" x14ac:dyDescent="0.3">
      <c r="B42" s="40"/>
      <c r="C42" s="41"/>
      <c r="D42" s="44"/>
      <c r="E42" s="45"/>
      <c r="F42" s="45"/>
      <c r="G42" s="45"/>
      <c r="H42" s="45"/>
      <c r="I42" s="41"/>
      <c r="J42" s="44"/>
      <c r="K42" s="41"/>
      <c r="L42" s="48"/>
      <c r="M42" s="49"/>
    </row>
    <row r="43" spans="2:13" x14ac:dyDescent="0.25">
      <c r="B43" s="38" t="s">
        <v>55</v>
      </c>
      <c r="C43" s="39"/>
      <c r="D43" s="42" t="s">
        <v>56</v>
      </c>
      <c r="E43" s="43"/>
      <c r="F43" s="43"/>
      <c r="G43" s="43"/>
      <c r="H43" s="43"/>
      <c r="I43" s="39"/>
      <c r="J43" s="42" t="s">
        <v>57</v>
      </c>
      <c r="K43" s="39"/>
      <c r="L43" s="46">
        <v>0.14583333333333334</v>
      </c>
      <c r="M43" s="47"/>
    </row>
    <row r="44" spans="2:13" ht="15.75" thickBot="1" x14ac:dyDescent="0.3">
      <c r="B44" s="40"/>
      <c r="C44" s="41"/>
      <c r="D44" s="44"/>
      <c r="E44" s="45"/>
      <c r="F44" s="45"/>
      <c r="G44" s="45"/>
      <c r="H44" s="45"/>
      <c r="I44" s="41"/>
      <c r="J44" s="44"/>
      <c r="K44" s="41"/>
      <c r="L44" s="48"/>
      <c r="M44" s="49"/>
    </row>
    <row r="45" spans="2:13" x14ac:dyDescent="0.25">
      <c r="B45" s="38" t="s">
        <v>53</v>
      </c>
      <c r="C45" s="39"/>
      <c r="D45" s="42" t="s">
        <v>58</v>
      </c>
      <c r="E45" s="43"/>
      <c r="F45" s="43"/>
      <c r="G45" s="43"/>
      <c r="H45" s="43"/>
      <c r="I45" s="39"/>
      <c r="J45" s="42"/>
      <c r="K45" s="39"/>
      <c r="L45" s="46">
        <v>8.3333333333333329E-2</v>
      </c>
      <c r="M45" s="47"/>
    </row>
    <row r="46" spans="2:13" ht="15.75" thickBot="1" x14ac:dyDescent="0.3">
      <c r="B46" s="40"/>
      <c r="C46" s="41"/>
      <c r="D46" s="44"/>
      <c r="E46" s="45"/>
      <c r="F46" s="45"/>
      <c r="G46" s="45"/>
      <c r="H46" s="45"/>
      <c r="I46" s="41"/>
      <c r="J46" s="44"/>
      <c r="K46" s="41"/>
      <c r="L46" s="48"/>
      <c r="M46" s="49"/>
    </row>
    <row r="47" spans="2:13" x14ac:dyDescent="0.25">
      <c r="B47" s="38" t="s">
        <v>59</v>
      </c>
      <c r="C47" s="39"/>
      <c r="D47" s="42" t="s">
        <v>60</v>
      </c>
      <c r="E47" s="43"/>
      <c r="F47" s="43"/>
      <c r="G47" s="43"/>
      <c r="H47" s="43"/>
      <c r="I47" s="39"/>
      <c r="J47" s="42"/>
      <c r="K47" s="39"/>
      <c r="L47" s="46">
        <v>1.3888888888888888E-2</v>
      </c>
      <c r="M47" s="47"/>
    </row>
    <row r="48" spans="2:13" ht="15.75" thickBot="1" x14ac:dyDescent="0.3">
      <c r="B48" s="40"/>
      <c r="C48" s="41"/>
      <c r="D48" s="44"/>
      <c r="E48" s="45"/>
      <c r="F48" s="45"/>
      <c r="G48" s="45"/>
      <c r="H48" s="45"/>
      <c r="I48" s="41"/>
      <c r="J48" s="44"/>
      <c r="K48" s="41"/>
      <c r="L48" s="48"/>
      <c r="M48" s="49"/>
    </row>
    <row r="49" spans="2:13" x14ac:dyDescent="0.25">
      <c r="B49" s="38" t="s">
        <v>47</v>
      </c>
      <c r="C49" s="39"/>
      <c r="D49" s="42" t="s">
        <v>48</v>
      </c>
      <c r="E49" s="43"/>
      <c r="F49" s="43"/>
      <c r="G49" s="43"/>
      <c r="H49" s="43"/>
      <c r="I49" s="39"/>
      <c r="J49" s="42"/>
      <c r="K49" s="39"/>
      <c r="L49" s="46">
        <v>6.9444444444444441E-3</v>
      </c>
      <c r="M49" s="47"/>
    </row>
    <row r="50" spans="2:13" ht="15.75" thickBot="1" x14ac:dyDescent="0.3">
      <c r="B50" s="40"/>
      <c r="C50" s="41"/>
      <c r="D50" s="44"/>
      <c r="E50" s="45"/>
      <c r="F50" s="45"/>
      <c r="G50" s="45"/>
      <c r="H50" s="45"/>
      <c r="I50" s="41"/>
      <c r="J50" s="44"/>
      <c r="K50" s="41"/>
      <c r="L50" s="48"/>
      <c r="M50" s="49"/>
    </row>
    <row r="51" spans="2:13" x14ac:dyDescent="0.25">
      <c r="B51" s="66" t="s">
        <v>8</v>
      </c>
      <c r="C51" s="67"/>
      <c r="D51" s="67"/>
      <c r="E51" s="67"/>
      <c r="F51" s="67"/>
      <c r="G51" s="67"/>
      <c r="H51" s="67"/>
      <c r="I51" s="67"/>
      <c r="J51" s="67"/>
      <c r="K51" s="67"/>
      <c r="L51" s="76">
        <f>SUM(L41:M50)</f>
        <v>0.28125</v>
      </c>
      <c r="M51" s="90"/>
    </row>
    <row r="52" spans="2:13" ht="15.75" thickBot="1" x14ac:dyDescent="0.3"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91"/>
    </row>
    <row r="53" spans="2:13" ht="15.75" thickBot="1" x14ac:dyDescent="0.3"/>
    <row r="54" spans="2:13" x14ac:dyDescent="0.25">
      <c r="B54" s="14" t="s">
        <v>13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60"/>
    </row>
    <row r="55" spans="2:13" x14ac:dyDescent="0.25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61"/>
    </row>
    <row r="56" spans="2:13" x14ac:dyDescent="0.25">
      <c r="B56" s="8" t="s">
        <v>5</v>
      </c>
      <c r="C56" s="9"/>
      <c r="D56" s="8" t="s">
        <v>6</v>
      </c>
      <c r="E56" s="12"/>
      <c r="F56" s="12"/>
      <c r="G56" s="12"/>
      <c r="H56" s="12"/>
      <c r="I56" s="9"/>
      <c r="J56" s="8" t="s">
        <v>7</v>
      </c>
      <c r="K56" s="9"/>
      <c r="L56" s="8" t="s">
        <v>10</v>
      </c>
      <c r="M56" s="9"/>
    </row>
    <row r="57" spans="2:13" ht="15.75" thickBot="1" x14ac:dyDescent="0.3">
      <c r="B57" s="10"/>
      <c r="C57" s="11"/>
      <c r="D57" s="10"/>
      <c r="E57" s="13"/>
      <c r="F57" s="13"/>
      <c r="G57" s="13"/>
      <c r="H57" s="13"/>
      <c r="I57" s="11"/>
      <c r="J57" s="10"/>
      <c r="K57" s="11"/>
      <c r="L57" s="10"/>
      <c r="M57" s="11"/>
    </row>
    <row r="58" spans="2:13" x14ac:dyDescent="0.25">
      <c r="B58" s="38" t="s">
        <v>55</v>
      </c>
      <c r="C58" s="39"/>
      <c r="D58" s="42" t="s">
        <v>56</v>
      </c>
      <c r="E58" s="43"/>
      <c r="F58" s="43"/>
      <c r="G58" s="43"/>
      <c r="H58" s="43"/>
      <c r="I58" s="39"/>
      <c r="J58" s="42" t="s">
        <v>61</v>
      </c>
      <c r="K58" s="39"/>
      <c r="L58" s="46">
        <v>0.11458333333333333</v>
      </c>
      <c r="M58" s="47"/>
    </row>
    <row r="59" spans="2:13" ht="15.75" thickBot="1" x14ac:dyDescent="0.3">
      <c r="B59" s="40"/>
      <c r="C59" s="41"/>
      <c r="D59" s="44"/>
      <c r="E59" s="45"/>
      <c r="F59" s="45"/>
      <c r="G59" s="45"/>
      <c r="H59" s="45"/>
      <c r="I59" s="41"/>
      <c r="J59" s="44"/>
      <c r="K59" s="41"/>
      <c r="L59" s="48"/>
      <c r="M59" s="49"/>
    </row>
    <row r="60" spans="2:13" x14ac:dyDescent="0.25">
      <c r="B60" s="38" t="s">
        <v>25</v>
      </c>
      <c r="C60" s="39"/>
      <c r="D60" s="42" t="s">
        <v>62</v>
      </c>
      <c r="E60" s="43"/>
      <c r="F60" s="43"/>
      <c r="G60" s="43"/>
      <c r="H60" s="43"/>
      <c r="I60" s="39"/>
      <c r="J60" s="42"/>
      <c r="K60" s="39"/>
      <c r="L60" s="46">
        <v>1.0416666666666666E-2</v>
      </c>
      <c r="M60" s="47"/>
    </row>
    <row r="61" spans="2:13" ht="15.75" thickBot="1" x14ac:dyDescent="0.3">
      <c r="B61" s="40"/>
      <c r="C61" s="41"/>
      <c r="D61" s="44"/>
      <c r="E61" s="45"/>
      <c r="F61" s="45"/>
      <c r="G61" s="45"/>
      <c r="H61" s="45"/>
      <c r="I61" s="41"/>
      <c r="J61" s="44"/>
      <c r="K61" s="41"/>
      <c r="L61" s="48"/>
      <c r="M61" s="49"/>
    </row>
    <row r="62" spans="2:13" x14ac:dyDescent="0.25">
      <c r="B62" s="66" t="s">
        <v>8</v>
      </c>
      <c r="C62" s="67"/>
      <c r="D62" s="67"/>
      <c r="E62" s="67"/>
      <c r="F62" s="67"/>
      <c r="G62" s="67"/>
      <c r="H62" s="67"/>
      <c r="I62" s="67"/>
      <c r="J62" s="67"/>
      <c r="K62" s="67"/>
      <c r="L62" s="76">
        <f>SUM(L58:M61)</f>
        <v>0.125</v>
      </c>
      <c r="M62" s="90"/>
    </row>
    <row r="63" spans="2:13" ht="15.75" thickBot="1" x14ac:dyDescent="0.3">
      <c r="B63" s="68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91"/>
    </row>
    <row r="64" spans="2:13" ht="15.75" thickBot="1" x14ac:dyDescent="0.3"/>
    <row r="65" spans="2:13" x14ac:dyDescent="0.25">
      <c r="B65" s="14" t="s">
        <v>14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60"/>
    </row>
    <row r="66" spans="2:13" x14ac:dyDescent="0.25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61"/>
    </row>
    <row r="67" spans="2:13" x14ac:dyDescent="0.25">
      <c r="B67" s="8" t="s">
        <v>5</v>
      </c>
      <c r="C67" s="9"/>
      <c r="D67" s="8" t="s">
        <v>6</v>
      </c>
      <c r="E67" s="12"/>
      <c r="F67" s="12"/>
      <c r="G67" s="12"/>
      <c r="H67" s="12"/>
      <c r="I67" s="9"/>
      <c r="J67" s="8" t="s">
        <v>7</v>
      </c>
      <c r="K67" s="9"/>
      <c r="L67" s="8" t="s">
        <v>10</v>
      </c>
      <c r="M67" s="9"/>
    </row>
    <row r="68" spans="2:13" ht="15.75" thickBot="1" x14ac:dyDescent="0.3">
      <c r="B68" s="10"/>
      <c r="C68" s="11"/>
      <c r="D68" s="10"/>
      <c r="E68" s="13"/>
      <c r="F68" s="13"/>
      <c r="G68" s="13"/>
      <c r="H68" s="13"/>
      <c r="I68" s="11"/>
      <c r="J68" s="10"/>
      <c r="K68" s="11"/>
      <c r="L68" s="10"/>
      <c r="M68" s="11"/>
    </row>
    <row r="69" spans="2:13" x14ac:dyDescent="0.25">
      <c r="B69" s="38" t="s">
        <v>63</v>
      </c>
      <c r="C69" s="39"/>
      <c r="D69" s="42"/>
      <c r="E69" s="43"/>
      <c r="F69" s="43"/>
      <c r="G69" s="43"/>
      <c r="H69" s="43"/>
      <c r="I69" s="39"/>
      <c r="J69" s="42"/>
      <c r="K69" s="39"/>
      <c r="L69" s="46">
        <v>0.28125</v>
      </c>
      <c r="M69" s="47"/>
    </row>
    <row r="70" spans="2:13" ht="15.75" thickBot="1" x14ac:dyDescent="0.3">
      <c r="B70" s="40"/>
      <c r="C70" s="41"/>
      <c r="D70" s="44"/>
      <c r="E70" s="45"/>
      <c r="F70" s="45"/>
      <c r="G70" s="45"/>
      <c r="H70" s="45"/>
      <c r="I70" s="41"/>
      <c r="J70" s="44"/>
      <c r="K70" s="41"/>
      <c r="L70" s="48"/>
      <c r="M70" s="49"/>
    </row>
    <row r="71" spans="2:13" x14ac:dyDescent="0.25">
      <c r="B71" s="66" t="s">
        <v>8</v>
      </c>
      <c r="C71" s="67"/>
      <c r="D71" s="67"/>
      <c r="E71" s="67"/>
      <c r="F71" s="67"/>
      <c r="G71" s="67"/>
      <c r="H71" s="67"/>
      <c r="I71" s="67"/>
      <c r="J71" s="67"/>
      <c r="K71" s="67"/>
      <c r="L71" s="76">
        <f>SUM(L69:M70)</f>
        <v>0.28125</v>
      </c>
      <c r="M71" s="90"/>
    </row>
    <row r="72" spans="2:13" ht="15.75" thickBot="1" x14ac:dyDescent="0.3">
      <c r="B72" s="68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91"/>
    </row>
  </sheetData>
  <mergeCells count="115">
    <mergeCell ref="B71:C72"/>
    <mergeCell ref="D71:K72"/>
    <mergeCell ref="L71:M72"/>
    <mergeCell ref="B69:C70"/>
    <mergeCell ref="D69:I70"/>
    <mergeCell ref="J69:K70"/>
    <mergeCell ref="L69:M70"/>
    <mergeCell ref="B62:C63"/>
    <mergeCell ref="D62:K63"/>
    <mergeCell ref="L62:M63"/>
    <mergeCell ref="B65:K66"/>
    <mergeCell ref="L65:M66"/>
    <mergeCell ref="B67:C68"/>
    <mergeCell ref="D67:I68"/>
    <mergeCell ref="J67:K68"/>
    <mergeCell ref="L67:M68"/>
    <mergeCell ref="B58:C59"/>
    <mergeCell ref="D58:I59"/>
    <mergeCell ref="J58:K59"/>
    <mergeCell ref="L58:M59"/>
    <mergeCell ref="B60:C61"/>
    <mergeCell ref="D60:I61"/>
    <mergeCell ref="J60:K61"/>
    <mergeCell ref="L60:M61"/>
    <mergeCell ref="B51:C52"/>
    <mergeCell ref="D51:K52"/>
    <mergeCell ref="L51:M52"/>
    <mergeCell ref="B54:K55"/>
    <mergeCell ref="L54:M55"/>
    <mergeCell ref="B56:C57"/>
    <mergeCell ref="D56:I57"/>
    <mergeCell ref="J56:K57"/>
    <mergeCell ref="L56:M57"/>
    <mergeCell ref="B49:C50"/>
    <mergeCell ref="D49:I50"/>
    <mergeCell ref="J49:K50"/>
    <mergeCell ref="L49:M50"/>
    <mergeCell ref="B45:C46"/>
    <mergeCell ref="D45:I46"/>
    <mergeCell ref="J45:K46"/>
    <mergeCell ref="L45:M46"/>
    <mergeCell ref="B47:C48"/>
    <mergeCell ref="D47:I48"/>
    <mergeCell ref="J47:K48"/>
    <mergeCell ref="L47:M48"/>
    <mergeCell ref="B41:C42"/>
    <mergeCell ref="D41:I42"/>
    <mergeCell ref="J41:K42"/>
    <mergeCell ref="L41:M42"/>
    <mergeCell ref="B43:C44"/>
    <mergeCell ref="D43:I44"/>
    <mergeCell ref="J43:K44"/>
    <mergeCell ref="L43:M44"/>
    <mergeCell ref="B37:K38"/>
    <mergeCell ref="L37:M38"/>
    <mergeCell ref="B39:C40"/>
    <mergeCell ref="D39:I40"/>
    <mergeCell ref="J39:K40"/>
    <mergeCell ref="L39:M40"/>
    <mergeCell ref="B32:C33"/>
    <mergeCell ref="D32:I33"/>
    <mergeCell ref="J32:K33"/>
    <mergeCell ref="L32:M33"/>
    <mergeCell ref="B34:C35"/>
    <mergeCell ref="D34:K35"/>
    <mergeCell ref="L34:M35"/>
    <mergeCell ref="B28:K29"/>
    <mergeCell ref="L28:M29"/>
    <mergeCell ref="B30:C31"/>
    <mergeCell ref="D30:I31"/>
    <mergeCell ref="J30:K31"/>
    <mergeCell ref="L30:M31"/>
    <mergeCell ref="B25:C26"/>
    <mergeCell ref="D25:K26"/>
    <mergeCell ref="L25:M26"/>
    <mergeCell ref="B23:C24"/>
    <mergeCell ref="D23:I24"/>
    <mergeCell ref="J23:K24"/>
    <mergeCell ref="L23:M24"/>
    <mergeCell ref="B19:C20"/>
    <mergeCell ref="D19:I20"/>
    <mergeCell ref="J19:K20"/>
    <mergeCell ref="L19:M20"/>
    <mergeCell ref="B21:C22"/>
    <mergeCell ref="D21:I22"/>
    <mergeCell ref="J21:K22"/>
    <mergeCell ref="L21:M22"/>
    <mergeCell ref="B15:C16"/>
    <mergeCell ref="D15:I16"/>
    <mergeCell ref="J15:K16"/>
    <mergeCell ref="L15:M16"/>
    <mergeCell ref="B17:C18"/>
    <mergeCell ref="D17:I18"/>
    <mergeCell ref="J17:K18"/>
    <mergeCell ref="L17:M18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7AA2-F2B5-440B-BA04-D101FAC7A42E}">
  <dimension ref="B2:M88"/>
  <sheetViews>
    <sheetView topLeftCell="A44" workbookViewId="0">
      <selection activeCell="P89" sqref="P89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6</v>
      </c>
      <c r="E3" s="30" t="s">
        <v>1</v>
      </c>
      <c r="F3" s="31"/>
      <c r="G3" s="85">
        <v>1</v>
      </c>
      <c r="H3" s="36" t="s">
        <v>2</v>
      </c>
      <c r="I3" s="20">
        <v>45325</v>
      </c>
      <c r="J3" s="20"/>
      <c r="K3" s="18" t="s">
        <v>3</v>
      </c>
      <c r="L3" s="20">
        <v>45329</v>
      </c>
      <c r="M3" s="21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SUM(L25,L34,L53,L72,L87)</f>
        <v>0.90625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ht="15" customHeight="1" x14ac:dyDescent="0.25">
      <c r="B17" s="38" t="s">
        <v>64</v>
      </c>
      <c r="C17" s="39"/>
      <c r="D17" s="42" t="s">
        <v>65</v>
      </c>
      <c r="E17" s="43"/>
      <c r="F17" s="43"/>
      <c r="G17" s="43"/>
      <c r="H17" s="43"/>
      <c r="I17" s="39"/>
      <c r="J17" s="42"/>
      <c r="K17" s="39"/>
      <c r="L17" s="46">
        <v>3.472222222222222E-3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ht="15" customHeight="1" x14ac:dyDescent="0.25">
      <c r="B19" s="38" t="s">
        <v>66</v>
      </c>
      <c r="C19" s="39"/>
      <c r="D19" s="42" t="s">
        <v>67</v>
      </c>
      <c r="E19" s="43"/>
      <c r="F19" s="43"/>
      <c r="G19" s="43"/>
      <c r="H19" s="43"/>
      <c r="I19" s="39"/>
      <c r="J19" s="42"/>
      <c r="K19" s="39"/>
      <c r="L19" s="46">
        <v>8.6805555555555566E-2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ht="15" customHeight="1" x14ac:dyDescent="0.25">
      <c r="B21" s="38" t="s">
        <v>66</v>
      </c>
      <c r="C21" s="39"/>
      <c r="D21" s="42" t="s">
        <v>68</v>
      </c>
      <c r="E21" s="43"/>
      <c r="F21" s="43"/>
      <c r="G21" s="43"/>
      <c r="H21" s="43"/>
      <c r="I21" s="39"/>
      <c r="J21" s="42"/>
      <c r="K21" s="39"/>
      <c r="L21" s="46">
        <v>6.5972222222222224E-2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ht="15" customHeight="1" x14ac:dyDescent="0.25">
      <c r="B23" s="38" t="s">
        <v>66</v>
      </c>
      <c r="C23" s="39"/>
      <c r="D23" s="42" t="s">
        <v>69</v>
      </c>
      <c r="E23" s="43"/>
      <c r="F23" s="43"/>
      <c r="G23" s="43"/>
      <c r="H23" s="43"/>
      <c r="I23" s="39"/>
      <c r="J23" s="42"/>
      <c r="K23" s="39"/>
      <c r="L23" s="46">
        <v>6.25E-2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x14ac:dyDescent="0.25">
      <c r="B25" s="66" t="s">
        <v>8</v>
      </c>
      <c r="C25" s="67"/>
      <c r="D25" s="67"/>
      <c r="E25" s="67"/>
      <c r="F25" s="67"/>
      <c r="G25" s="67"/>
      <c r="H25" s="67"/>
      <c r="I25" s="67"/>
      <c r="J25" s="67"/>
      <c r="K25" s="67"/>
      <c r="L25" s="76">
        <f>SUM(L17:M24)</f>
        <v>0.21875</v>
      </c>
      <c r="M25" s="77"/>
    </row>
    <row r="26" spans="2:13" ht="15.75" thickBot="1" x14ac:dyDescent="0.3"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78"/>
      <c r="M26" s="79"/>
    </row>
    <row r="27" spans="2:13" ht="15.75" thickBot="1" x14ac:dyDescent="0.3"/>
    <row r="28" spans="2:13" x14ac:dyDescent="0.25">
      <c r="B28" s="14" t="s">
        <v>11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60"/>
    </row>
    <row r="29" spans="2:13" ht="15.75" thickBot="1" x14ac:dyDescent="0.3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61"/>
    </row>
    <row r="30" spans="2:13" ht="15" customHeight="1" x14ac:dyDescent="0.25">
      <c r="B30" s="8" t="s">
        <v>5</v>
      </c>
      <c r="C30" s="9"/>
      <c r="D30" s="8" t="s">
        <v>6</v>
      </c>
      <c r="E30" s="12"/>
      <c r="F30" s="12"/>
      <c r="G30" s="12"/>
      <c r="H30" s="12"/>
      <c r="I30" s="9"/>
      <c r="J30" s="8" t="s">
        <v>7</v>
      </c>
      <c r="K30" s="9"/>
      <c r="L30" s="8" t="s">
        <v>10</v>
      </c>
      <c r="M30" s="9"/>
    </row>
    <row r="31" spans="2:13" ht="15.75" thickBot="1" x14ac:dyDescent="0.3">
      <c r="B31" s="10"/>
      <c r="C31" s="11"/>
      <c r="D31" s="10"/>
      <c r="E31" s="13"/>
      <c r="F31" s="13"/>
      <c r="G31" s="13"/>
      <c r="H31" s="13"/>
      <c r="I31" s="11"/>
      <c r="J31" s="10"/>
      <c r="K31" s="11"/>
      <c r="L31" s="10"/>
      <c r="M31" s="11"/>
    </row>
    <row r="32" spans="2:13" x14ac:dyDescent="0.25">
      <c r="B32" s="8" t="s">
        <v>15</v>
      </c>
      <c r="C32" s="12"/>
      <c r="D32" s="12"/>
      <c r="E32" s="12"/>
      <c r="F32" s="12"/>
      <c r="G32" s="12"/>
      <c r="H32" s="12"/>
      <c r="I32" s="12"/>
      <c r="J32" s="12"/>
      <c r="K32" s="12"/>
      <c r="L32" s="70">
        <v>0</v>
      </c>
      <c r="M32" s="47"/>
    </row>
    <row r="33" spans="2:13" ht="15.75" thickBot="1" x14ac:dyDescent="0.3">
      <c r="B33" s="10"/>
      <c r="C33" s="13"/>
      <c r="D33" s="13"/>
      <c r="E33" s="13"/>
      <c r="F33" s="13"/>
      <c r="G33" s="13"/>
      <c r="H33" s="13"/>
      <c r="I33" s="13"/>
      <c r="J33" s="13"/>
      <c r="K33" s="13"/>
      <c r="L33" s="71"/>
      <c r="M33" s="49"/>
    </row>
    <row r="34" spans="2:13" x14ac:dyDescent="0.25">
      <c r="B34" s="66" t="s">
        <v>8</v>
      </c>
      <c r="C34" s="67"/>
      <c r="D34" s="67"/>
      <c r="E34" s="67"/>
      <c r="F34" s="67"/>
      <c r="G34" s="67"/>
      <c r="H34" s="67"/>
      <c r="I34" s="67"/>
      <c r="J34" s="67"/>
      <c r="K34" s="67"/>
      <c r="L34" s="76">
        <f>SUM(L33:M33)</f>
        <v>0</v>
      </c>
      <c r="M34" s="77"/>
    </row>
    <row r="35" spans="2:13" ht="15.75" thickBot="1" x14ac:dyDescent="0.3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78"/>
      <c r="M35" s="79"/>
    </row>
    <row r="36" spans="2:13" ht="15.75" thickBot="1" x14ac:dyDescent="0.3"/>
    <row r="37" spans="2:13" x14ac:dyDescent="0.25">
      <c r="B37" s="14" t="s">
        <v>12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60"/>
    </row>
    <row r="38" spans="2:13" ht="15.75" thickBot="1" x14ac:dyDescent="0.3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61"/>
    </row>
    <row r="39" spans="2:13" ht="15" customHeight="1" x14ac:dyDescent="0.25">
      <c r="B39" s="8" t="s">
        <v>5</v>
      </c>
      <c r="C39" s="9"/>
      <c r="D39" s="8" t="s">
        <v>6</v>
      </c>
      <c r="E39" s="12"/>
      <c r="F39" s="12"/>
      <c r="G39" s="12"/>
      <c r="H39" s="12"/>
      <c r="I39" s="9"/>
      <c r="J39" s="8" t="s">
        <v>7</v>
      </c>
      <c r="K39" s="9"/>
      <c r="L39" s="8" t="s">
        <v>10</v>
      </c>
      <c r="M39" s="9"/>
    </row>
    <row r="40" spans="2:13" ht="15.75" thickBot="1" x14ac:dyDescent="0.3">
      <c r="B40" s="10"/>
      <c r="C40" s="11"/>
      <c r="D40" s="10"/>
      <c r="E40" s="13"/>
      <c r="F40" s="13"/>
      <c r="G40" s="13"/>
      <c r="H40" s="13"/>
      <c r="I40" s="11"/>
      <c r="J40" s="10"/>
      <c r="K40" s="11"/>
      <c r="L40" s="10"/>
      <c r="M40" s="11"/>
    </row>
    <row r="41" spans="2:13" ht="15" customHeight="1" x14ac:dyDescent="0.25">
      <c r="B41" s="38" t="s">
        <v>64</v>
      </c>
      <c r="C41" s="39"/>
      <c r="D41" s="42" t="s">
        <v>65</v>
      </c>
      <c r="E41" s="43"/>
      <c r="F41" s="43"/>
      <c r="G41" s="43"/>
      <c r="H41" s="43"/>
      <c r="I41" s="39"/>
      <c r="J41" s="42"/>
      <c r="K41" s="39"/>
      <c r="L41" s="46">
        <v>3.472222222222222E-3</v>
      </c>
      <c r="M41" s="47"/>
    </row>
    <row r="42" spans="2:13" ht="15.75" thickBot="1" x14ac:dyDescent="0.3">
      <c r="B42" s="40"/>
      <c r="C42" s="41"/>
      <c r="D42" s="44"/>
      <c r="E42" s="45"/>
      <c r="F42" s="45"/>
      <c r="G42" s="45"/>
      <c r="H42" s="45"/>
      <c r="I42" s="41"/>
      <c r="J42" s="44"/>
      <c r="K42" s="41"/>
      <c r="L42" s="48"/>
      <c r="M42" s="49"/>
    </row>
    <row r="43" spans="2:13" ht="15" customHeight="1" x14ac:dyDescent="0.25">
      <c r="B43" s="38" t="s">
        <v>66</v>
      </c>
      <c r="C43" s="39"/>
      <c r="D43" s="42" t="s">
        <v>72</v>
      </c>
      <c r="E43" s="43"/>
      <c r="F43" s="43"/>
      <c r="G43" s="43"/>
      <c r="H43" s="43"/>
      <c r="I43" s="39"/>
      <c r="J43" s="42"/>
      <c r="K43" s="39"/>
      <c r="L43" s="46">
        <v>9.375E-2</v>
      </c>
      <c r="M43" s="47"/>
    </row>
    <row r="44" spans="2:13" ht="15.75" thickBot="1" x14ac:dyDescent="0.3">
      <c r="B44" s="40"/>
      <c r="C44" s="41"/>
      <c r="D44" s="44"/>
      <c r="E44" s="45"/>
      <c r="F44" s="45"/>
      <c r="G44" s="45"/>
      <c r="H44" s="45"/>
      <c r="I44" s="41"/>
      <c r="J44" s="44"/>
      <c r="K44" s="41"/>
      <c r="L44" s="48"/>
      <c r="M44" s="49"/>
    </row>
    <row r="45" spans="2:13" ht="15" customHeight="1" x14ac:dyDescent="0.25">
      <c r="B45" s="38" t="s">
        <v>66</v>
      </c>
      <c r="C45" s="39"/>
      <c r="D45" s="42" t="s">
        <v>71</v>
      </c>
      <c r="E45" s="43"/>
      <c r="F45" s="43"/>
      <c r="G45" s="43"/>
      <c r="H45" s="43"/>
      <c r="I45" s="39"/>
      <c r="J45" s="42"/>
      <c r="K45" s="39"/>
      <c r="L45" s="46">
        <v>2.7777777777777776E-2</v>
      </c>
      <c r="M45" s="47"/>
    </row>
    <row r="46" spans="2:13" ht="15.75" thickBot="1" x14ac:dyDescent="0.3">
      <c r="B46" s="40"/>
      <c r="C46" s="41"/>
      <c r="D46" s="44"/>
      <c r="E46" s="45"/>
      <c r="F46" s="45"/>
      <c r="G46" s="45"/>
      <c r="H46" s="45"/>
      <c r="I46" s="41"/>
      <c r="J46" s="44"/>
      <c r="K46" s="41"/>
      <c r="L46" s="48"/>
      <c r="M46" s="49"/>
    </row>
    <row r="47" spans="2:13" ht="15" customHeight="1" x14ac:dyDescent="0.25">
      <c r="B47" s="38" t="s">
        <v>66</v>
      </c>
      <c r="C47" s="39"/>
      <c r="D47" s="42" t="s">
        <v>70</v>
      </c>
      <c r="E47" s="43"/>
      <c r="F47" s="43"/>
      <c r="G47" s="43"/>
      <c r="H47" s="43"/>
      <c r="I47" s="39"/>
      <c r="J47" s="42"/>
      <c r="K47" s="39"/>
      <c r="L47" s="46">
        <v>0.11458333333333333</v>
      </c>
      <c r="M47" s="47"/>
    </row>
    <row r="48" spans="2:13" ht="15.75" thickBot="1" x14ac:dyDescent="0.3">
      <c r="B48" s="40"/>
      <c r="C48" s="41"/>
      <c r="D48" s="44"/>
      <c r="E48" s="45"/>
      <c r="F48" s="45"/>
      <c r="G48" s="45"/>
      <c r="H48" s="45"/>
      <c r="I48" s="41"/>
      <c r="J48" s="44"/>
      <c r="K48" s="41"/>
      <c r="L48" s="48"/>
      <c r="M48" s="49"/>
    </row>
    <row r="49" spans="2:13" ht="15" customHeight="1" x14ac:dyDescent="0.25">
      <c r="B49" s="38" t="s">
        <v>66</v>
      </c>
      <c r="C49" s="39"/>
      <c r="D49" s="42" t="s">
        <v>73</v>
      </c>
      <c r="E49" s="43"/>
      <c r="F49" s="43"/>
      <c r="G49" s="43"/>
      <c r="H49" s="43"/>
      <c r="I49" s="39"/>
      <c r="J49" s="42"/>
      <c r="K49" s="39"/>
      <c r="L49" s="46">
        <v>2.0833333333333332E-2</v>
      </c>
      <c r="M49" s="47"/>
    </row>
    <row r="50" spans="2:13" ht="15.75" thickBot="1" x14ac:dyDescent="0.3">
      <c r="B50" s="40"/>
      <c r="C50" s="41"/>
      <c r="D50" s="44"/>
      <c r="E50" s="45"/>
      <c r="F50" s="45"/>
      <c r="G50" s="45"/>
      <c r="H50" s="45"/>
      <c r="I50" s="41"/>
      <c r="J50" s="44"/>
      <c r="K50" s="41"/>
      <c r="L50" s="48"/>
      <c r="M50" s="49"/>
    </row>
    <row r="51" spans="2:13" ht="15" customHeight="1" x14ac:dyDescent="0.25">
      <c r="B51" s="38" t="s">
        <v>66</v>
      </c>
      <c r="C51" s="39"/>
      <c r="D51" s="42" t="s">
        <v>74</v>
      </c>
      <c r="E51" s="43"/>
      <c r="F51" s="43"/>
      <c r="G51" s="43"/>
      <c r="H51" s="43"/>
      <c r="I51" s="39"/>
      <c r="J51" s="42"/>
      <c r="K51" s="39"/>
      <c r="L51" s="46">
        <v>2.0833333333333332E-2</v>
      </c>
      <c r="M51" s="47"/>
    </row>
    <row r="52" spans="2:13" ht="15.75" thickBot="1" x14ac:dyDescent="0.3">
      <c r="B52" s="40"/>
      <c r="C52" s="41"/>
      <c r="D52" s="44"/>
      <c r="E52" s="45"/>
      <c r="F52" s="45"/>
      <c r="G52" s="45"/>
      <c r="H52" s="45"/>
      <c r="I52" s="41"/>
      <c r="J52" s="44"/>
      <c r="K52" s="41"/>
      <c r="L52" s="48"/>
      <c r="M52" s="49"/>
    </row>
    <row r="53" spans="2:13" x14ac:dyDescent="0.25">
      <c r="B53" s="66" t="s">
        <v>8</v>
      </c>
      <c r="C53" s="67"/>
      <c r="D53" s="67"/>
      <c r="E53" s="67"/>
      <c r="F53" s="67"/>
      <c r="G53" s="67"/>
      <c r="H53" s="67"/>
      <c r="I53" s="67"/>
      <c r="J53" s="67"/>
      <c r="K53" s="67"/>
      <c r="L53" s="76">
        <f>SUM(L41:M52)</f>
        <v>0.28124999999999994</v>
      </c>
      <c r="M53" s="77"/>
    </row>
    <row r="54" spans="2:13" ht="15.75" thickBot="1" x14ac:dyDescent="0.3">
      <c r="B54" s="68"/>
      <c r="C54" s="69"/>
      <c r="D54" s="69"/>
      <c r="E54" s="69"/>
      <c r="F54" s="69"/>
      <c r="G54" s="69"/>
      <c r="H54" s="69"/>
      <c r="I54" s="69"/>
      <c r="J54" s="69"/>
      <c r="K54" s="69"/>
      <c r="L54" s="78"/>
      <c r="M54" s="79"/>
    </row>
    <row r="55" spans="2:13" ht="15.75" thickBot="1" x14ac:dyDescent="0.3"/>
    <row r="56" spans="2:13" x14ac:dyDescent="0.25">
      <c r="B56" s="14" t="s">
        <v>13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60"/>
    </row>
    <row r="57" spans="2:13" ht="15.75" thickBot="1" x14ac:dyDescent="0.3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61"/>
    </row>
    <row r="58" spans="2:13" ht="15" customHeight="1" x14ac:dyDescent="0.25">
      <c r="B58" s="8" t="s">
        <v>5</v>
      </c>
      <c r="C58" s="9"/>
      <c r="D58" s="8" t="s">
        <v>6</v>
      </c>
      <c r="E58" s="12"/>
      <c r="F58" s="12"/>
      <c r="G58" s="12"/>
      <c r="H58" s="12"/>
      <c r="I58" s="9"/>
      <c r="J58" s="8" t="s">
        <v>7</v>
      </c>
      <c r="K58" s="9"/>
      <c r="L58" s="8" t="s">
        <v>10</v>
      </c>
      <c r="M58" s="9"/>
    </row>
    <row r="59" spans="2:13" ht="15.75" thickBot="1" x14ac:dyDescent="0.3">
      <c r="B59" s="10"/>
      <c r="C59" s="11"/>
      <c r="D59" s="10"/>
      <c r="E59" s="13"/>
      <c r="F59" s="13"/>
      <c r="G59" s="13"/>
      <c r="H59" s="13"/>
      <c r="I59" s="11"/>
      <c r="J59" s="10"/>
      <c r="K59" s="11"/>
      <c r="L59" s="10"/>
      <c r="M59" s="11"/>
    </row>
    <row r="60" spans="2:13" ht="15" customHeight="1" x14ac:dyDescent="0.25">
      <c r="B60" s="38" t="s">
        <v>64</v>
      </c>
      <c r="C60" s="39"/>
      <c r="D60" s="42" t="s">
        <v>65</v>
      </c>
      <c r="E60" s="43"/>
      <c r="F60" s="43"/>
      <c r="G60" s="43"/>
      <c r="H60" s="43"/>
      <c r="I60" s="39"/>
      <c r="J60" s="42"/>
      <c r="K60" s="39"/>
      <c r="L60" s="46">
        <v>3.472222222222222E-3</v>
      </c>
      <c r="M60" s="47"/>
    </row>
    <row r="61" spans="2:13" ht="15.75" thickBot="1" x14ac:dyDescent="0.3">
      <c r="B61" s="40"/>
      <c r="C61" s="41"/>
      <c r="D61" s="44"/>
      <c r="E61" s="45"/>
      <c r="F61" s="45"/>
      <c r="G61" s="45"/>
      <c r="H61" s="45"/>
      <c r="I61" s="41"/>
      <c r="J61" s="44"/>
      <c r="K61" s="41"/>
      <c r="L61" s="48"/>
      <c r="M61" s="49"/>
    </row>
    <row r="62" spans="2:13" ht="15" customHeight="1" x14ac:dyDescent="0.25">
      <c r="B62" s="38" t="s">
        <v>75</v>
      </c>
      <c r="C62" s="39"/>
      <c r="D62" s="42" t="s">
        <v>76</v>
      </c>
      <c r="E62" s="43"/>
      <c r="F62" s="43"/>
      <c r="G62" s="43"/>
      <c r="H62" s="43"/>
      <c r="I62" s="39"/>
      <c r="J62" s="42" t="s">
        <v>77</v>
      </c>
      <c r="K62" s="39"/>
      <c r="L62" s="46">
        <v>6.5972222222222224E-2</v>
      </c>
      <c r="M62" s="47"/>
    </row>
    <row r="63" spans="2:13" ht="15.75" thickBot="1" x14ac:dyDescent="0.3">
      <c r="B63" s="40"/>
      <c r="C63" s="41"/>
      <c r="D63" s="44"/>
      <c r="E63" s="45"/>
      <c r="F63" s="45"/>
      <c r="G63" s="45"/>
      <c r="H63" s="45"/>
      <c r="I63" s="41"/>
      <c r="J63" s="44"/>
      <c r="K63" s="41"/>
      <c r="L63" s="48"/>
      <c r="M63" s="49"/>
    </row>
    <row r="64" spans="2:13" ht="15" customHeight="1" x14ac:dyDescent="0.25">
      <c r="B64" s="38" t="s">
        <v>75</v>
      </c>
      <c r="C64" s="39"/>
      <c r="D64" s="42" t="s">
        <v>79</v>
      </c>
      <c r="E64" s="43"/>
      <c r="F64" s="43"/>
      <c r="G64" s="43"/>
      <c r="H64" s="43"/>
      <c r="I64" s="39"/>
      <c r="J64" s="42" t="s">
        <v>77</v>
      </c>
      <c r="K64" s="39"/>
      <c r="L64" s="46">
        <v>1.0416666666666666E-2</v>
      </c>
      <c r="M64" s="47"/>
    </row>
    <row r="65" spans="2:13" ht="15.75" thickBot="1" x14ac:dyDescent="0.3">
      <c r="B65" s="40"/>
      <c r="C65" s="41"/>
      <c r="D65" s="44"/>
      <c r="E65" s="45"/>
      <c r="F65" s="45"/>
      <c r="G65" s="45"/>
      <c r="H65" s="45"/>
      <c r="I65" s="41"/>
      <c r="J65" s="44"/>
      <c r="K65" s="41"/>
      <c r="L65" s="48"/>
      <c r="M65" s="49"/>
    </row>
    <row r="66" spans="2:13" ht="15" customHeight="1" x14ac:dyDescent="0.25">
      <c r="B66" s="38" t="s">
        <v>66</v>
      </c>
      <c r="C66" s="39"/>
      <c r="D66" s="42" t="s">
        <v>78</v>
      </c>
      <c r="E66" s="43"/>
      <c r="F66" s="43"/>
      <c r="G66" s="43"/>
      <c r="H66" s="43"/>
      <c r="I66" s="39"/>
      <c r="J66" s="42"/>
      <c r="K66" s="39"/>
      <c r="L66" s="46">
        <v>1.3888888888888888E-2</v>
      </c>
      <c r="M66" s="47"/>
    </row>
    <row r="67" spans="2:13" ht="15.75" thickBot="1" x14ac:dyDescent="0.3">
      <c r="B67" s="40"/>
      <c r="C67" s="41"/>
      <c r="D67" s="44"/>
      <c r="E67" s="45"/>
      <c r="F67" s="45"/>
      <c r="G67" s="45"/>
      <c r="H67" s="45"/>
      <c r="I67" s="41"/>
      <c r="J67" s="44"/>
      <c r="K67" s="41"/>
      <c r="L67" s="48"/>
      <c r="M67" s="49"/>
    </row>
    <row r="68" spans="2:13" ht="15" customHeight="1" x14ac:dyDescent="0.25">
      <c r="B68" s="38" t="s">
        <v>66</v>
      </c>
      <c r="C68" s="39"/>
      <c r="D68" s="42" t="s">
        <v>80</v>
      </c>
      <c r="E68" s="43"/>
      <c r="F68" s="43"/>
      <c r="G68" s="43"/>
      <c r="H68" s="43"/>
      <c r="I68" s="39"/>
      <c r="J68" s="42"/>
      <c r="K68" s="39"/>
      <c r="L68" s="46">
        <v>2.0833333333333332E-2</v>
      </c>
      <c r="M68" s="47"/>
    </row>
    <row r="69" spans="2:13" x14ac:dyDescent="0.25">
      <c r="B69" s="40"/>
      <c r="C69" s="41"/>
      <c r="D69" s="44"/>
      <c r="E69" s="45"/>
      <c r="F69" s="45"/>
      <c r="G69" s="45"/>
      <c r="H69" s="45"/>
      <c r="I69" s="41"/>
      <c r="J69" s="44"/>
      <c r="K69" s="41"/>
      <c r="L69" s="48"/>
      <c r="M69" s="49"/>
    </row>
    <row r="70" spans="2:13" ht="15" customHeight="1" x14ac:dyDescent="0.25">
      <c r="B70" s="38" t="s">
        <v>25</v>
      </c>
      <c r="C70" s="39"/>
      <c r="D70" s="42" t="s">
        <v>81</v>
      </c>
      <c r="E70" s="43"/>
      <c r="F70" s="43"/>
      <c r="G70" s="43"/>
      <c r="H70" s="43"/>
      <c r="I70" s="39"/>
      <c r="J70" s="42"/>
      <c r="K70" s="39"/>
      <c r="L70" s="46">
        <v>1.0416666666666666E-2</v>
      </c>
      <c r="M70" s="47"/>
    </row>
    <row r="71" spans="2:13" ht="15.75" thickBot="1" x14ac:dyDescent="0.3">
      <c r="B71" s="40"/>
      <c r="C71" s="41"/>
      <c r="D71" s="44"/>
      <c r="E71" s="45"/>
      <c r="F71" s="45"/>
      <c r="G71" s="45"/>
      <c r="H71" s="45"/>
      <c r="I71" s="41"/>
      <c r="J71" s="44"/>
      <c r="K71" s="41"/>
      <c r="L71" s="48"/>
      <c r="M71" s="49"/>
    </row>
    <row r="72" spans="2:13" x14ac:dyDescent="0.25">
      <c r="B72" s="66" t="s">
        <v>8</v>
      </c>
      <c r="C72" s="67"/>
      <c r="D72" s="67"/>
      <c r="E72" s="67"/>
      <c r="F72" s="67"/>
      <c r="G72" s="67"/>
      <c r="H72" s="67"/>
      <c r="I72" s="67"/>
      <c r="J72" s="67"/>
      <c r="K72" s="67"/>
      <c r="L72" s="76">
        <f>SUM(L60:M71)</f>
        <v>0.125</v>
      </c>
      <c r="M72" s="77"/>
    </row>
    <row r="73" spans="2:13" ht="15.75" thickBot="1" x14ac:dyDescent="0.3">
      <c r="B73" s="68"/>
      <c r="C73" s="69"/>
      <c r="D73" s="69"/>
      <c r="E73" s="69"/>
      <c r="F73" s="69"/>
      <c r="G73" s="69"/>
      <c r="H73" s="69"/>
      <c r="I73" s="69"/>
      <c r="J73" s="69"/>
      <c r="K73" s="69"/>
      <c r="L73" s="78"/>
      <c r="M73" s="79"/>
    </row>
    <row r="74" spans="2:13" ht="15.75" thickBot="1" x14ac:dyDescent="0.3"/>
    <row r="75" spans="2:13" x14ac:dyDescent="0.25">
      <c r="B75" s="14" t="s">
        <v>14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60"/>
    </row>
    <row r="76" spans="2:13" ht="15.75" thickBot="1" x14ac:dyDescent="0.3"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61"/>
    </row>
    <row r="77" spans="2:13" ht="15" customHeight="1" x14ac:dyDescent="0.25">
      <c r="B77" s="8" t="s">
        <v>5</v>
      </c>
      <c r="C77" s="9"/>
      <c r="D77" s="8" t="s">
        <v>6</v>
      </c>
      <c r="E77" s="12"/>
      <c r="F77" s="12"/>
      <c r="G77" s="12"/>
      <c r="H77" s="12"/>
      <c r="I77" s="9"/>
      <c r="J77" s="8" t="s">
        <v>7</v>
      </c>
      <c r="K77" s="9"/>
      <c r="L77" s="8" t="s">
        <v>10</v>
      </c>
      <c r="M77" s="9"/>
    </row>
    <row r="78" spans="2:13" ht="15.75" thickBot="1" x14ac:dyDescent="0.3">
      <c r="B78" s="10"/>
      <c r="C78" s="11"/>
      <c r="D78" s="10"/>
      <c r="E78" s="13"/>
      <c r="F78" s="13"/>
      <c r="G78" s="13"/>
      <c r="H78" s="13"/>
      <c r="I78" s="11"/>
      <c r="J78" s="10"/>
      <c r="K78" s="11"/>
      <c r="L78" s="10"/>
      <c r="M78" s="11"/>
    </row>
    <row r="79" spans="2:13" ht="15" customHeight="1" x14ac:dyDescent="0.25">
      <c r="B79" s="38" t="s">
        <v>64</v>
      </c>
      <c r="C79" s="39"/>
      <c r="D79" s="42" t="s">
        <v>65</v>
      </c>
      <c r="E79" s="43"/>
      <c r="F79" s="43"/>
      <c r="G79" s="43"/>
      <c r="H79" s="43"/>
      <c r="I79" s="39"/>
      <c r="J79" s="42"/>
      <c r="K79" s="39"/>
      <c r="L79" s="46">
        <v>3.472222222222222E-3</v>
      </c>
      <c r="M79" s="47"/>
    </row>
    <row r="80" spans="2:13" ht="15.75" thickBot="1" x14ac:dyDescent="0.3">
      <c r="B80" s="40"/>
      <c r="C80" s="41"/>
      <c r="D80" s="44"/>
      <c r="E80" s="45"/>
      <c r="F80" s="45"/>
      <c r="G80" s="45"/>
      <c r="H80" s="45"/>
      <c r="I80" s="41"/>
      <c r="J80" s="44"/>
      <c r="K80" s="41"/>
      <c r="L80" s="48"/>
      <c r="M80" s="49"/>
    </row>
    <row r="81" spans="2:13" ht="15" customHeight="1" x14ac:dyDescent="0.25">
      <c r="B81" s="38" t="s">
        <v>66</v>
      </c>
      <c r="C81" s="39"/>
      <c r="D81" s="42" t="s">
        <v>82</v>
      </c>
      <c r="E81" s="43"/>
      <c r="F81" s="43"/>
      <c r="G81" s="43"/>
      <c r="H81" s="43"/>
      <c r="I81" s="39"/>
      <c r="J81" s="42"/>
      <c r="K81" s="39"/>
      <c r="L81" s="46">
        <v>6.9444444444444441E-3</v>
      </c>
      <c r="M81" s="47"/>
    </row>
    <row r="82" spans="2:13" ht="15.75" thickBot="1" x14ac:dyDescent="0.3">
      <c r="B82" s="40"/>
      <c r="C82" s="41"/>
      <c r="D82" s="44"/>
      <c r="E82" s="45"/>
      <c r="F82" s="45"/>
      <c r="G82" s="45"/>
      <c r="H82" s="45"/>
      <c r="I82" s="41"/>
      <c r="J82" s="44"/>
      <c r="K82" s="41"/>
      <c r="L82" s="48"/>
      <c r="M82" s="49"/>
    </row>
    <row r="83" spans="2:13" ht="15" customHeight="1" x14ac:dyDescent="0.25">
      <c r="B83" s="38" t="s">
        <v>66</v>
      </c>
      <c r="C83" s="39"/>
      <c r="D83" s="42" t="s">
        <v>83</v>
      </c>
      <c r="E83" s="43"/>
      <c r="F83" s="43"/>
      <c r="G83" s="43"/>
      <c r="H83" s="43"/>
      <c r="I83" s="39"/>
      <c r="J83" s="42"/>
      <c r="K83" s="39"/>
      <c r="L83" s="46">
        <v>0.25</v>
      </c>
      <c r="M83" s="47"/>
    </row>
    <row r="84" spans="2:13" ht="15.75" thickBot="1" x14ac:dyDescent="0.3">
      <c r="B84" s="40"/>
      <c r="C84" s="41"/>
      <c r="D84" s="44"/>
      <c r="E84" s="45"/>
      <c r="F84" s="45"/>
      <c r="G84" s="45"/>
      <c r="H84" s="45"/>
      <c r="I84" s="41"/>
      <c r="J84" s="44"/>
      <c r="K84" s="41"/>
      <c r="L84" s="48"/>
      <c r="M84" s="49"/>
    </row>
    <row r="85" spans="2:13" ht="15" customHeight="1" x14ac:dyDescent="0.25">
      <c r="B85" s="38" t="s">
        <v>64</v>
      </c>
      <c r="C85" s="39"/>
      <c r="D85" s="42" t="s">
        <v>84</v>
      </c>
      <c r="E85" s="43"/>
      <c r="F85" s="43"/>
      <c r="G85" s="43"/>
      <c r="H85" s="43"/>
      <c r="I85" s="39"/>
      <c r="J85" s="42"/>
      <c r="K85" s="39"/>
      <c r="L85" s="46">
        <v>2.0833333333333332E-2</v>
      </c>
      <c r="M85" s="47"/>
    </row>
    <row r="86" spans="2:13" ht="15.75" thickBot="1" x14ac:dyDescent="0.3">
      <c r="B86" s="40"/>
      <c r="C86" s="41"/>
      <c r="D86" s="44"/>
      <c r="E86" s="45"/>
      <c r="F86" s="45"/>
      <c r="G86" s="45"/>
      <c r="H86" s="45"/>
      <c r="I86" s="41"/>
      <c r="J86" s="44"/>
      <c r="K86" s="41"/>
      <c r="L86" s="48"/>
      <c r="M86" s="49"/>
    </row>
    <row r="87" spans="2:13" x14ac:dyDescent="0.25">
      <c r="B87" s="66" t="s">
        <v>8</v>
      </c>
      <c r="C87" s="67"/>
      <c r="D87" s="67"/>
      <c r="E87" s="67"/>
      <c r="F87" s="67"/>
      <c r="G87" s="67"/>
      <c r="H87" s="67"/>
      <c r="I87" s="67"/>
      <c r="J87" s="67"/>
      <c r="K87" s="67"/>
      <c r="L87" s="76">
        <f>SUM(L79:M86)</f>
        <v>0.28125</v>
      </c>
      <c r="M87" s="77"/>
    </row>
    <row r="88" spans="2:13" x14ac:dyDescent="0.25">
      <c r="B88" s="68"/>
      <c r="C88" s="69"/>
      <c r="D88" s="69"/>
      <c r="E88" s="69"/>
      <c r="F88" s="69"/>
      <c r="G88" s="69"/>
      <c r="H88" s="69"/>
      <c r="I88" s="69"/>
      <c r="J88" s="69"/>
      <c r="K88" s="69"/>
      <c r="L88" s="78"/>
      <c r="M88" s="79"/>
    </row>
  </sheetData>
  <mergeCells count="147">
    <mergeCell ref="B87:C88"/>
    <mergeCell ref="D87:K88"/>
    <mergeCell ref="L87:M88"/>
    <mergeCell ref="B83:C84"/>
    <mergeCell ref="D83:I84"/>
    <mergeCell ref="J83:K84"/>
    <mergeCell ref="L83:M84"/>
    <mergeCell ref="B85:C86"/>
    <mergeCell ref="D85:I86"/>
    <mergeCell ref="J85:K86"/>
    <mergeCell ref="L85:M86"/>
    <mergeCell ref="B79:C80"/>
    <mergeCell ref="D79:I80"/>
    <mergeCell ref="J79:K80"/>
    <mergeCell ref="L79:M80"/>
    <mergeCell ref="B81:C82"/>
    <mergeCell ref="D81:I82"/>
    <mergeCell ref="J81:K82"/>
    <mergeCell ref="L81:M82"/>
    <mergeCell ref="B72:C73"/>
    <mergeCell ref="D72:K73"/>
    <mergeCell ref="L72:M73"/>
    <mergeCell ref="B75:K76"/>
    <mergeCell ref="L75:M76"/>
    <mergeCell ref="B77:C78"/>
    <mergeCell ref="D77:I78"/>
    <mergeCell ref="J77:K78"/>
    <mergeCell ref="L77:M78"/>
    <mergeCell ref="B70:C71"/>
    <mergeCell ref="D70:I71"/>
    <mergeCell ref="J70:K71"/>
    <mergeCell ref="L70:M71"/>
    <mergeCell ref="B66:C67"/>
    <mergeCell ref="D66:I67"/>
    <mergeCell ref="J66:K67"/>
    <mergeCell ref="L66:M67"/>
    <mergeCell ref="B68:C69"/>
    <mergeCell ref="D68:I69"/>
    <mergeCell ref="J68:K69"/>
    <mergeCell ref="L68:M69"/>
    <mergeCell ref="B64:C65"/>
    <mergeCell ref="D64:I65"/>
    <mergeCell ref="J64:K65"/>
    <mergeCell ref="L64:M65"/>
    <mergeCell ref="B60:C61"/>
    <mergeCell ref="D60:I61"/>
    <mergeCell ref="J60:K61"/>
    <mergeCell ref="L60:M61"/>
    <mergeCell ref="B62:C63"/>
    <mergeCell ref="D62:I63"/>
    <mergeCell ref="J62:K63"/>
    <mergeCell ref="L62:M63"/>
    <mergeCell ref="B53:C54"/>
    <mergeCell ref="D53:K54"/>
    <mergeCell ref="L53:M54"/>
    <mergeCell ref="B56:K57"/>
    <mergeCell ref="L56:M57"/>
    <mergeCell ref="B58:C59"/>
    <mergeCell ref="D58:I59"/>
    <mergeCell ref="J58:K59"/>
    <mergeCell ref="L58:M59"/>
    <mergeCell ref="B51:C52"/>
    <mergeCell ref="D51:I52"/>
    <mergeCell ref="J51:K52"/>
    <mergeCell ref="L51:M52"/>
    <mergeCell ref="J47:K48"/>
    <mergeCell ref="L47:M48"/>
    <mergeCell ref="B49:C50"/>
    <mergeCell ref="D49:I50"/>
    <mergeCell ref="J49:K50"/>
    <mergeCell ref="L49:M50"/>
    <mergeCell ref="B45:C46"/>
    <mergeCell ref="D45:I46"/>
    <mergeCell ref="B47:C48"/>
    <mergeCell ref="D47:I48"/>
    <mergeCell ref="J45:K46"/>
    <mergeCell ref="L45:M46"/>
    <mergeCell ref="B41:C42"/>
    <mergeCell ref="D41:I42"/>
    <mergeCell ref="J41:K42"/>
    <mergeCell ref="L41:M42"/>
    <mergeCell ref="B43:C44"/>
    <mergeCell ref="D43:I44"/>
    <mergeCell ref="J43:K44"/>
    <mergeCell ref="L43:M44"/>
    <mergeCell ref="B37:K38"/>
    <mergeCell ref="L37:M38"/>
    <mergeCell ref="B39:C40"/>
    <mergeCell ref="D39:I40"/>
    <mergeCell ref="J39:K40"/>
    <mergeCell ref="L39:M40"/>
    <mergeCell ref="B32:C33"/>
    <mergeCell ref="D32:I33"/>
    <mergeCell ref="J32:K33"/>
    <mergeCell ref="L32:M33"/>
    <mergeCell ref="B34:C35"/>
    <mergeCell ref="D34:K35"/>
    <mergeCell ref="L34:M35"/>
    <mergeCell ref="B28:K29"/>
    <mergeCell ref="L28:M29"/>
    <mergeCell ref="B30:C31"/>
    <mergeCell ref="D30:I31"/>
    <mergeCell ref="J30:K31"/>
    <mergeCell ref="L30:M31"/>
    <mergeCell ref="B25:C26"/>
    <mergeCell ref="D25:K26"/>
    <mergeCell ref="L25:M26"/>
    <mergeCell ref="B23:C24"/>
    <mergeCell ref="D23:I24"/>
    <mergeCell ref="J23:K24"/>
    <mergeCell ref="L23:M24"/>
    <mergeCell ref="B19:C20"/>
    <mergeCell ref="D19:I20"/>
    <mergeCell ref="J19:K20"/>
    <mergeCell ref="L19:M20"/>
    <mergeCell ref="B21:C22"/>
    <mergeCell ref="D21:I22"/>
    <mergeCell ref="J21:K22"/>
    <mergeCell ref="L21:M22"/>
    <mergeCell ref="B15:C16"/>
    <mergeCell ref="D15:I16"/>
    <mergeCell ref="J15:K16"/>
    <mergeCell ref="L15:M16"/>
    <mergeCell ref="B17:C18"/>
    <mergeCell ref="D17:I18"/>
    <mergeCell ref="J17:K18"/>
    <mergeCell ref="L17:M18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45BA-4F9F-41C5-A434-F4A1CDF997CE}">
  <dimension ref="B2:M78"/>
  <sheetViews>
    <sheetView topLeftCell="A27" workbookViewId="0">
      <selection activeCell="P89" sqref="P89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7</v>
      </c>
      <c r="E3" s="30" t="s">
        <v>1</v>
      </c>
      <c r="F3" s="31"/>
      <c r="G3" s="85">
        <v>2</v>
      </c>
      <c r="H3" s="36" t="s">
        <v>2</v>
      </c>
      <c r="I3" s="20">
        <v>45332</v>
      </c>
      <c r="J3" s="20"/>
      <c r="K3" s="18" t="s">
        <v>3</v>
      </c>
      <c r="L3" s="20">
        <v>45336</v>
      </c>
      <c r="M3" s="21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SUM(L19,L28,L45,L60,L77)</f>
        <v>0.90625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x14ac:dyDescent="0.25">
      <c r="B17" s="38" t="s">
        <v>89</v>
      </c>
      <c r="C17" s="39"/>
      <c r="D17" s="42"/>
      <c r="E17" s="43"/>
      <c r="F17" s="43"/>
      <c r="G17" s="43"/>
      <c r="H17" s="43"/>
      <c r="I17" s="39"/>
      <c r="J17" s="42"/>
      <c r="K17" s="39"/>
      <c r="L17" s="46">
        <v>0.21875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x14ac:dyDescent="0.25">
      <c r="B19" s="66" t="s">
        <v>8</v>
      </c>
      <c r="C19" s="67"/>
      <c r="D19" s="67"/>
      <c r="E19" s="67"/>
      <c r="F19" s="67"/>
      <c r="G19" s="67"/>
      <c r="H19" s="67"/>
      <c r="I19" s="67"/>
      <c r="J19" s="67"/>
      <c r="K19" s="67"/>
      <c r="L19" s="76">
        <f>SUM(L17:M18)</f>
        <v>0.21875</v>
      </c>
      <c r="M19" s="77"/>
    </row>
    <row r="20" spans="2:13" ht="15.75" thickBot="1" x14ac:dyDescent="0.3"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8"/>
      <c r="M20" s="79"/>
    </row>
    <row r="21" spans="2:13" ht="15.75" thickBot="1" x14ac:dyDescent="0.3"/>
    <row r="22" spans="2:13" x14ac:dyDescent="0.25">
      <c r="B22" s="14" t="s">
        <v>11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60"/>
    </row>
    <row r="23" spans="2:13" ht="15.75" thickBot="1" x14ac:dyDescent="0.3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61"/>
    </row>
    <row r="24" spans="2:13" ht="15" customHeight="1" x14ac:dyDescent="0.25">
      <c r="B24" s="8" t="s">
        <v>5</v>
      </c>
      <c r="C24" s="9"/>
      <c r="D24" s="8" t="s">
        <v>6</v>
      </c>
      <c r="E24" s="12"/>
      <c r="F24" s="12"/>
      <c r="G24" s="12"/>
      <c r="H24" s="12"/>
      <c r="I24" s="9"/>
      <c r="J24" s="8" t="s">
        <v>7</v>
      </c>
      <c r="K24" s="9"/>
      <c r="L24" s="8" t="s">
        <v>10</v>
      </c>
      <c r="M24" s="9"/>
    </row>
    <row r="25" spans="2:13" ht="15.75" thickBot="1" x14ac:dyDescent="0.3">
      <c r="B25" s="10"/>
      <c r="C25" s="11"/>
      <c r="D25" s="10"/>
      <c r="E25" s="13"/>
      <c r="F25" s="13"/>
      <c r="G25" s="13"/>
      <c r="H25" s="13"/>
      <c r="I25" s="11"/>
      <c r="J25" s="10"/>
      <c r="K25" s="11"/>
      <c r="L25" s="10"/>
      <c r="M25" s="11"/>
    </row>
    <row r="26" spans="2:13" x14ac:dyDescent="0.25">
      <c r="B26" s="8" t="s">
        <v>15</v>
      </c>
      <c r="C26" s="12"/>
      <c r="D26" s="12"/>
      <c r="E26" s="12"/>
      <c r="F26" s="12"/>
      <c r="G26" s="12"/>
      <c r="H26" s="12"/>
      <c r="I26" s="12"/>
      <c r="J26" s="12"/>
      <c r="K26" s="12"/>
      <c r="L26" s="70">
        <v>0</v>
      </c>
      <c r="M26" s="47"/>
    </row>
    <row r="27" spans="2:13" ht="15.75" thickBot="1" x14ac:dyDescent="0.3">
      <c r="B27" s="10"/>
      <c r="C27" s="13"/>
      <c r="D27" s="13"/>
      <c r="E27" s="13"/>
      <c r="F27" s="13"/>
      <c r="G27" s="13"/>
      <c r="H27" s="13"/>
      <c r="I27" s="13"/>
      <c r="J27" s="13"/>
      <c r="K27" s="13"/>
      <c r="L27" s="71"/>
      <c r="M27" s="49"/>
    </row>
    <row r="28" spans="2:13" x14ac:dyDescent="0.25">
      <c r="B28" s="66" t="s">
        <v>8</v>
      </c>
      <c r="C28" s="67"/>
      <c r="D28" s="67"/>
      <c r="E28" s="67"/>
      <c r="F28" s="67"/>
      <c r="G28" s="67"/>
      <c r="H28" s="67"/>
      <c r="I28" s="67"/>
      <c r="J28" s="67"/>
      <c r="K28" s="67"/>
      <c r="L28" s="76">
        <f>SUM(L27:M27)</f>
        <v>0</v>
      </c>
      <c r="M28" s="77"/>
    </row>
    <row r="29" spans="2:13" ht="15.75" thickBot="1" x14ac:dyDescent="0.3"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8"/>
      <c r="M29" s="79"/>
    </row>
    <row r="30" spans="2:13" ht="15.75" thickBot="1" x14ac:dyDescent="0.3"/>
    <row r="31" spans="2:13" x14ac:dyDescent="0.25">
      <c r="B31" s="14" t="s">
        <v>12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60"/>
    </row>
    <row r="32" spans="2:13" ht="15.75" thickBot="1" x14ac:dyDescent="0.3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61"/>
    </row>
    <row r="33" spans="2:13" ht="15" customHeight="1" x14ac:dyDescent="0.25">
      <c r="B33" s="8" t="s">
        <v>5</v>
      </c>
      <c r="C33" s="9"/>
      <c r="D33" s="8" t="s">
        <v>6</v>
      </c>
      <c r="E33" s="12"/>
      <c r="F33" s="12"/>
      <c r="G33" s="12"/>
      <c r="H33" s="12"/>
      <c r="I33" s="9"/>
      <c r="J33" s="8" t="s">
        <v>7</v>
      </c>
      <c r="K33" s="9"/>
      <c r="L33" s="8" t="s">
        <v>10</v>
      </c>
      <c r="M33" s="9"/>
    </row>
    <row r="34" spans="2:13" ht="15.75" thickBot="1" x14ac:dyDescent="0.3">
      <c r="B34" s="10"/>
      <c r="C34" s="11"/>
      <c r="D34" s="10"/>
      <c r="E34" s="13"/>
      <c r="F34" s="13"/>
      <c r="G34" s="13"/>
      <c r="H34" s="13"/>
      <c r="I34" s="11"/>
      <c r="J34" s="10"/>
      <c r="K34" s="11"/>
      <c r="L34" s="10"/>
      <c r="M34" s="11"/>
    </row>
    <row r="35" spans="2:13" ht="15" customHeight="1" x14ac:dyDescent="0.25">
      <c r="B35" s="38" t="s">
        <v>64</v>
      </c>
      <c r="C35" s="39"/>
      <c r="D35" s="42" t="s">
        <v>65</v>
      </c>
      <c r="E35" s="43"/>
      <c r="F35" s="43"/>
      <c r="G35" s="43"/>
      <c r="H35" s="43"/>
      <c r="I35" s="39"/>
      <c r="J35" s="42"/>
      <c r="K35" s="39"/>
      <c r="L35" s="46">
        <v>3.472222222222222E-3</v>
      </c>
      <c r="M35" s="47"/>
    </row>
    <row r="36" spans="2:13" ht="15.75" thickBot="1" x14ac:dyDescent="0.3">
      <c r="B36" s="40"/>
      <c r="C36" s="41"/>
      <c r="D36" s="44"/>
      <c r="E36" s="45"/>
      <c r="F36" s="45"/>
      <c r="G36" s="45"/>
      <c r="H36" s="45"/>
      <c r="I36" s="41"/>
      <c r="J36" s="44"/>
      <c r="K36" s="41"/>
      <c r="L36" s="48"/>
      <c r="M36" s="49"/>
    </row>
    <row r="37" spans="2:13" ht="15" customHeight="1" x14ac:dyDescent="0.25">
      <c r="B37" s="38" t="s">
        <v>66</v>
      </c>
      <c r="C37" s="39"/>
      <c r="D37" s="42" t="s">
        <v>85</v>
      </c>
      <c r="E37" s="43"/>
      <c r="F37" s="43"/>
      <c r="G37" s="43"/>
      <c r="H37" s="43"/>
      <c r="I37" s="39"/>
      <c r="J37" s="42"/>
      <c r="K37" s="39"/>
      <c r="L37" s="46">
        <v>6.9444444444444434E-2</v>
      </c>
      <c r="M37" s="47"/>
    </row>
    <row r="38" spans="2:13" ht="15.75" thickBot="1" x14ac:dyDescent="0.3">
      <c r="B38" s="40"/>
      <c r="C38" s="41"/>
      <c r="D38" s="44"/>
      <c r="E38" s="45"/>
      <c r="F38" s="45"/>
      <c r="G38" s="45"/>
      <c r="H38" s="45"/>
      <c r="I38" s="41"/>
      <c r="J38" s="44"/>
      <c r="K38" s="41"/>
      <c r="L38" s="48"/>
      <c r="M38" s="49"/>
    </row>
    <row r="39" spans="2:13" ht="15" customHeight="1" x14ac:dyDescent="0.25">
      <c r="B39" s="38" t="s">
        <v>66</v>
      </c>
      <c r="C39" s="39"/>
      <c r="D39" s="42" t="s">
        <v>86</v>
      </c>
      <c r="E39" s="43"/>
      <c r="F39" s="43"/>
      <c r="G39" s="43"/>
      <c r="H39" s="43"/>
      <c r="I39" s="39"/>
      <c r="J39" s="42"/>
      <c r="K39" s="39"/>
      <c r="L39" s="46">
        <v>6.9444444444444434E-2</v>
      </c>
      <c r="M39" s="47"/>
    </row>
    <row r="40" spans="2:13" ht="15.75" thickBot="1" x14ac:dyDescent="0.3">
      <c r="B40" s="40"/>
      <c r="C40" s="41"/>
      <c r="D40" s="44"/>
      <c r="E40" s="45"/>
      <c r="F40" s="45"/>
      <c r="G40" s="45"/>
      <c r="H40" s="45"/>
      <c r="I40" s="41"/>
      <c r="J40" s="44"/>
      <c r="K40" s="41"/>
      <c r="L40" s="48"/>
      <c r="M40" s="49"/>
    </row>
    <row r="41" spans="2:13" ht="15" customHeight="1" x14ac:dyDescent="0.25">
      <c r="B41" s="38" t="s">
        <v>66</v>
      </c>
      <c r="C41" s="39"/>
      <c r="D41" s="42" t="s">
        <v>87</v>
      </c>
      <c r="E41" s="43"/>
      <c r="F41" s="43"/>
      <c r="G41" s="43"/>
      <c r="H41" s="43"/>
      <c r="I41" s="39"/>
      <c r="J41" s="42"/>
      <c r="K41" s="39"/>
      <c r="L41" s="46">
        <v>4.8611111111111112E-2</v>
      </c>
      <c r="M41" s="47"/>
    </row>
    <row r="42" spans="2:13" ht="15.75" thickBot="1" x14ac:dyDescent="0.3">
      <c r="B42" s="40"/>
      <c r="C42" s="41"/>
      <c r="D42" s="44"/>
      <c r="E42" s="45"/>
      <c r="F42" s="45"/>
      <c r="G42" s="45"/>
      <c r="H42" s="45"/>
      <c r="I42" s="41"/>
      <c r="J42" s="44"/>
      <c r="K42" s="41"/>
      <c r="L42" s="48"/>
      <c r="M42" s="49"/>
    </row>
    <row r="43" spans="2:13" ht="15" customHeight="1" x14ac:dyDescent="0.25">
      <c r="B43" s="38" t="s">
        <v>66</v>
      </c>
      <c r="C43" s="39"/>
      <c r="D43" s="42" t="s">
        <v>88</v>
      </c>
      <c r="E43" s="43"/>
      <c r="F43" s="43"/>
      <c r="G43" s="43"/>
      <c r="H43" s="43"/>
      <c r="I43" s="39"/>
      <c r="J43" s="42"/>
      <c r="K43" s="39"/>
      <c r="L43" s="46">
        <v>9.0277777777777776E-2</v>
      </c>
      <c r="M43" s="47"/>
    </row>
    <row r="44" spans="2:13" ht="15.75" thickBot="1" x14ac:dyDescent="0.3">
      <c r="B44" s="40"/>
      <c r="C44" s="41"/>
      <c r="D44" s="44"/>
      <c r="E44" s="45"/>
      <c r="F44" s="45"/>
      <c r="G44" s="45"/>
      <c r="H44" s="45"/>
      <c r="I44" s="41"/>
      <c r="J44" s="44"/>
      <c r="K44" s="41"/>
      <c r="L44" s="48"/>
      <c r="M44" s="49"/>
    </row>
    <row r="45" spans="2:13" x14ac:dyDescent="0.25">
      <c r="B45" s="66" t="s">
        <v>8</v>
      </c>
      <c r="C45" s="67"/>
      <c r="D45" s="67"/>
      <c r="E45" s="67"/>
      <c r="F45" s="67"/>
      <c r="G45" s="67"/>
      <c r="H45" s="67"/>
      <c r="I45" s="67"/>
      <c r="J45" s="67"/>
      <c r="K45" s="67"/>
      <c r="L45" s="76">
        <f>SUM(L35:M44)</f>
        <v>0.28125</v>
      </c>
      <c r="M45" s="77"/>
    </row>
    <row r="46" spans="2:13" ht="15.75" thickBot="1" x14ac:dyDescent="0.3">
      <c r="B46" s="68"/>
      <c r="C46" s="69"/>
      <c r="D46" s="69"/>
      <c r="E46" s="69"/>
      <c r="F46" s="69"/>
      <c r="G46" s="69"/>
      <c r="H46" s="69"/>
      <c r="I46" s="69"/>
      <c r="J46" s="69"/>
      <c r="K46" s="69"/>
      <c r="L46" s="78"/>
      <c r="M46" s="79"/>
    </row>
    <row r="47" spans="2:13" ht="15.75" thickBot="1" x14ac:dyDescent="0.3"/>
    <row r="48" spans="2:13" x14ac:dyDescent="0.25">
      <c r="B48" s="14" t="s">
        <v>13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60"/>
    </row>
    <row r="49" spans="2:13" ht="15.75" thickBot="1" x14ac:dyDescent="0.3"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61"/>
    </row>
    <row r="50" spans="2:13" ht="15" customHeight="1" x14ac:dyDescent="0.25">
      <c r="B50" s="8" t="s">
        <v>5</v>
      </c>
      <c r="C50" s="9"/>
      <c r="D50" s="8" t="s">
        <v>6</v>
      </c>
      <c r="E50" s="12"/>
      <c r="F50" s="12"/>
      <c r="G50" s="12"/>
      <c r="H50" s="12"/>
      <c r="I50" s="9"/>
      <c r="J50" s="8" t="s">
        <v>7</v>
      </c>
      <c r="K50" s="9"/>
      <c r="L50" s="8" t="s">
        <v>10</v>
      </c>
      <c r="M50" s="9"/>
    </row>
    <row r="51" spans="2:13" ht="15.75" thickBot="1" x14ac:dyDescent="0.3">
      <c r="B51" s="10"/>
      <c r="C51" s="11"/>
      <c r="D51" s="10"/>
      <c r="E51" s="13"/>
      <c r="F51" s="13"/>
      <c r="G51" s="13"/>
      <c r="H51" s="13"/>
      <c r="I51" s="11"/>
      <c r="J51" s="10"/>
      <c r="K51" s="11"/>
      <c r="L51" s="10"/>
      <c r="M51" s="11"/>
    </row>
    <row r="52" spans="2:13" ht="15" customHeight="1" x14ac:dyDescent="0.25">
      <c r="B52" s="38" t="s">
        <v>64</v>
      </c>
      <c r="C52" s="39"/>
      <c r="D52" s="42" t="s">
        <v>65</v>
      </c>
      <c r="E52" s="43"/>
      <c r="F52" s="43"/>
      <c r="G52" s="43"/>
      <c r="H52" s="43"/>
      <c r="I52" s="39"/>
      <c r="J52" s="42"/>
      <c r="K52" s="39"/>
      <c r="L52" s="46">
        <v>3.472222222222222E-3</v>
      </c>
      <c r="M52" s="47"/>
    </row>
    <row r="53" spans="2:13" ht="15.75" thickBot="1" x14ac:dyDescent="0.3">
      <c r="B53" s="40"/>
      <c r="C53" s="41"/>
      <c r="D53" s="44"/>
      <c r="E53" s="45"/>
      <c r="F53" s="45"/>
      <c r="G53" s="45"/>
      <c r="H53" s="45"/>
      <c r="I53" s="41"/>
      <c r="J53" s="44"/>
      <c r="K53" s="41"/>
      <c r="L53" s="48"/>
      <c r="M53" s="49"/>
    </row>
    <row r="54" spans="2:13" ht="15" customHeight="1" x14ac:dyDescent="0.25">
      <c r="B54" s="38" t="s">
        <v>90</v>
      </c>
      <c r="C54" s="39"/>
      <c r="D54" s="42" t="s">
        <v>91</v>
      </c>
      <c r="E54" s="43"/>
      <c r="F54" s="43"/>
      <c r="G54" s="43"/>
      <c r="H54" s="43"/>
      <c r="I54" s="39"/>
      <c r="J54" s="42"/>
      <c r="K54" s="39"/>
      <c r="L54" s="46">
        <v>2.7777777777777776E-2</v>
      </c>
      <c r="M54" s="47"/>
    </row>
    <row r="55" spans="2:13" ht="15.75" thickBot="1" x14ac:dyDescent="0.3">
      <c r="B55" s="40"/>
      <c r="C55" s="41"/>
      <c r="D55" s="44"/>
      <c r="E55" s="45"/>
      <c r="F55" s="45"/>
      <c r="G55" s="45"/>
      <c r="H55" s="45"/>
      <c r="I55" s="41"/>
      <c r="J55" s="44"/>
      <c r="K55" s="41"/>
      <c r="L55" s="48"/>
      <c r="M55" s="49"/>
    </row>
    <row r="56" spans="2:13" ht="15" customHeight="1" x14ac:dyDescent="0.25">
      <c r="B56" s="38" t="s">
        <v>66</v>
      </c>
      <c r="C56" s="39"/>
      <c r="D56" s="42" t="s">
        <v>92</v>
      </c>
      <c r="E56" s="43"/>
      <c r="F56" s="43"/>
      <c r="G56" s="43"/>
      <c r="H56" s="43"/>
      <c r="I56" s="39"/>
      <c r="J56" s="42"/>
      <c r="K56" s="39"/>
      <c r="L56" s="46">
        <v>4.1666666666666664E-2</v>
      </c>
      <c r="M56" s="47"/>
    </row>
    <row r="57" spans="2:13" ht="15.75" thickBot="1" x14ac:dyDescent="0.3">
      <c r="B57" s="40"/>
      <c r="C57" s="41"/>
      <c r="D57" s="44"/>
      <c r="E57" s="45"/>
      <c r="F57" s="45"/>
      <c r="G57" s="45"/>
      <c r="H57" s="45"/>
      <c r="I57" s="41"/>
      <c r="J57" s="44"/>
      <c r="K57" s="41"/>
      <c r="L57" s="48"/>
      <c r="M57" s="49"/>
    </row>
    <row r="58" spans="2:13" ht="15" customHeight="1" x14ac:dyDescent="0.25">
      <c r="B58" s="38" t="s">
        <v>66</v>
      </c>
      <c r="C58" s="39"/>
      <c r="D58" s="42" t="s">
        <v>93</v>
      </c>
      <c r="E58" s="43"/>
      <c r="F58" s="43"/>
      <c r="G58" s="43"/>
      <c r="H58" s="43"/>
      <c r="I58" s="39"/>
      <c r="J58" s="42"/>
      <c r="K58" s="39"/>
      <c r="L58" s="46">
        <v>5.2083333333333336E-2</v>
      </c>
      <c r="M58" s="47"/>
    </row>
    <row r="59" spans="2:13" ht="15.75" thickBot="1" x14ac:dyDescent="0.3">
      <c r="B59" s="40"/>
      <c r="C59" s="41"/>
      <c r="D59" s="44"/>
      <c r="E59" s="45"/>
      <c r="F59" s="45"/>
      <c r="G59" s="45"/>
      <c r="H59" s="45"/>
      <c r="I59" s="41"/>
      <c r="J59" s="44"/>
      <c r="K59" s="41"/>
      <c r="L59" s="48"/>
      <c r="M59" s="49"/>
    </row>
    <row r="60" spans="2:13" x14ac:dyDescent="0.25">
      <c r="B60" s="66" t="s">
        <v>8</v>
      </c>
      <c r="C60" s="67"/>
      <c r="D60" s="67"/>
      <c r="E60" s="67"/>
      <c r="F60" s="67"/>
      <c r="G60" s="67"/>
      <c r="H60" s="67"/>
      <c r="I60" s="67"/>
      <c r="J60" s="67"/>
      <c r="K60" s="67"/>
      <c r="L60" s="76">
        <f>SUM(L52:M59)</f>
        <v>0.125</v>
      </c>
      <c r="M60" s="77"/>
    </row>
    <row r="61" spans="2:13" ht="15.75" thickBot="1" x14ac:dyDescent="0.3">
      <c r="B61" s="68"/>
      <c r="C61" s="69"/>
      <c r="D61" s="69"/>
      <c r="E61" s="69"/>
      <c r="F61" s="69"/>
      <c r="G61" s="69"/>
      <c r="H61" s="69"/>
      <c r="I61" s="69"/>
      <c r="J61" s="69"/>
      <c r="K61" s="69"/>
      <c r="L61" s="78"/>
      <c r="M61" s="79"/>
    </row>
    <row r="62" spans="2:13" ht="15.75" thickBot="1" x14ac:dyDescent="0.3"/>
    <row r="63" spans="2:13" x14ac:dyDescent="0.25">
      <c r="B63" s="14" t="s">
        <v>14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60"/>
    </row>
    <row r="64" spans="2:13" ht="15.75" thickBot="1" x14ac:dyDescent="0.3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61"/>
    </row>
    <row r="65" spans="2:13" ht="15" customHeight="1" x14ac:dyDescent="0.25">
      <c r="B65" s="8" t="s">
        <v>5</v>
      </c>
      <c r="C65" s="9"/>
      <c r="D65" s="8" t="s">
        <v>6</v>
      </c>
      <c r="E65" s="12"/>
      <c r="F65" s="12"/>
      <c r="G65" s="12"/>
      <c r="H65" s="12"/>
      <c r="I65" s="9"/>
      <c r="J65" s="8" t="s">
        <v>7</v>
      </c>
      <c r="K65" s="9"/>
      <c r="L65" s="8" t="s">
        <v>10</v>
      </c>
      <c r="M65" s="9"/>
    </row>
    <row r="66" spans="2:13" ht="15.75" thickBot="1" x14ac:dyDescent="0.3">
      <c r="B66" s="10"/>
      <c r="C66" s="11"/>
      <c r="D66" s="10"/>
      <c r="E66" s="13"/>
      <c r="F66" s="13"/>
      <c r="G66" s="13"/>
      <c r="H66" s="13"/>
      <c r="I66" s="11"/>
      <c r="J66" s="10"/>
      <c r="K66" s="11"/>
      <c r="L66" s="10"/>
      <c r="M66" s="11"/>
    </row>
    <row r="67" spans="2:13" ht="15" customHeight="1" x14ac:dyDescent="0.25">
      <c r="B67" s="38" t="s">
        <v>64</v>
      </c>
      <c r="C67" s="39"/>
      <c r="D67" s="42" t="s">
        <v>65</v>
      </c>
      <c r="E67" s="43"/>
      <c r="F67" s="43"/>
      <c r="G67" s="43"/>
      <c r="H67" s="43"/>
      <c r="I67" s="39"/>
      <c r="J67" s="42"/>
      <c r="K67" s="39"/>
      <c r="L67" s="46">
        <v>3.472222222222222E-3</v>
      </c>
      <c r="M67" s="47"/>
    </row>
    <row r="68" spans="2:13" ht="15.75" thickBot="1" x14ac:dyDescent="0.3">
      <c r="B68" s="40"/>
      <c r="C68" s="41"/>
      <c r="D68" s="44"/>
      <c r="E68" s="45"/>
      <c r="F68" s="45"/>
      <c r="G68" s="45"/>
      <c r="H68" s="45"/>
      <c r="I68" s="41"/>
      <c r="J68" s="44"/>
      <c r="K68" s="41"/>
      <c r="L68" s="48"/>
      <c r="M68" s="49"/>
    </row>
    <row r="69" spans="2:13" ht="15" customHeight="1" x14ac:dyDescent="0.25">
      <c r="B69" s="38" t="s">
        <v>66</v>
      </c>
      <c r="C69" s="39"/>
      <c r="D69" s="42" t="s">
        <v>94</v>
      </c>
      <c r="E69" s="43"/>
      <c r="F69" s="43"/>
      <c r="G69" s="43"/>
      <c r="H69" s="43"/>
      <c r="I69" s="39"/>
      <c r="J69" s="42"/>
      <c r="K69" s="39"/>
      <c r="L69" s="46">
        <v>0.125</v>
      </c>
      <c r="M69" s="47"/>
    </row>
    <row r="70" spans="2:13" ht="15.75" thickBot="1" x14ac:dyDescent="0.3">
      <c r="B70" s="40"/>
      <c r="C70" s="41"/>
      <c r="D70" s="44"/>
      <c r="E70" s="45"/>
      <c r="F70" s="45"/>
      <c r="G70" s="45"/>
      <c r="H70" s="45"/>
      <c r="I70" s="41"/>
      <c r="J70" s="44"/>
      <c r="K70" s="41"/>
      <c r="L70" s="48"/>
      <c r="M70" s="49"/>
    </row>
    <row r="71" spans="2:13" ht="15" customHeight="1" x14ac:dyDescent="0.25">
      <c r="B71" s="38" t="s">
        <v>66</v>
      </c>
      <c r="C71" s="39"/>
      <c r="D71" s="42" t="s">
        <v>95</v>
      </c>
      <c r="E71" s="43"/>
      <c r="F71" s="43"/>
      <c r="G71" s="43"/>
      <c r="H71" s="43"/>
      <c r="I71" s="39"/>
      <c r="J71" s="42"/>
      <c r="K71" s="39"/>
      <c r="L71" s="46">
        <v>4.8611111111111112E-2</v>
      </c>
      <c r="M71" s="47"/>
    </row>
    <row r="72" spans="2:13" ht="15.75" thickBot="1" x14ac:dyDescent="0.3">
      <c r="B72" s="40"/>
      <c r="C72" s="41"/>
      <c r="D72" s="44"/>
      <c r="E72" s="45"/>
      <c r="F72" s="45"/>
      <c r="G72" s="45"/>
      <c r="H72" s="45"/>
      <c r="I72" s="41"/>
      <c r="J72" s="44"/>
      <c r="K72" s="41"/>
      <c r="L72" s="48"/>
      <c r="M72" s="49"/>
    </row>
    <row r="73" spans="2:13" ht="15" customHeight="1" x14ac:dyDescent="0.25">
      <c r="B73" s="38" t="s">
        <v>66</v>
      </c>
      <c r="C73" s="39"/>
      <c r="D73" s="42" t="s">
        <v>96</v>
      </c>
      <c r="E73" s="43"/>
      <c r="F73" s="43"/>
      <c r="G73" s="43"/>
      <c r="H73" s="43"/>
      <c r="I73" s="39"/>
      <c r="J73" s="42"/>
      <c r="K73" s="39"/>
      <c r="L73" s="46">
        <v>4.8611111111111112E-2</v>
      </c>
      <c r="M73" s="47"/>
    </row>
    <row r="74" spans="2:13" ht="15.75" thickBot="1" x14ac:dyDescent="0.3">
      <c r="B74" s="40"/>
      <c r="C74" s="41"/>
      <c r="D74" s="44"/>
      <c r="E74" s="45"/>
      <c r="F74" s="45"/>
      <c r="G74" s="45"/>
      <c r="H74" s="45"/>
      <c r="I74" s="41"/>
      <c r="J74" s="44"/>
      <c r="K74" s="41"/>
      <c r="L74" s="48"/>
      <c r="M74" s="49"/>
    </row>
    <row r="75" spans="2:13" ht="15" customHeight="1" x14ac:dyDescent="0.25">
      <c r="B75" s="38" t="s">
        <v>66</v>
      </c>
      <c r="C75" s="39"/>
      <c r="D75" s="42" t="s">
        <v>97</v>
      </c>
      <c r="E75" s="43"/>
      <c r="F75" s="43"/>
      <c r="G75" s="43"/>
      <c r="H75" s="43"/>
      <c r="I75" s="39"/>
      <c r="J75" s="42"/>
      <c r="K75" s="39"/>
      <c r="L75" s="46">
        <v>5.5555555555555552E-2</v>
      </c>
      <c r="M75" s="47"/>
    </row>
    <row r="76" spans="2:13" ht="15.75" thickBot="1" x14ac:dyDescent="0.3">
      <c r="B76" s="40"/>
      <c r="C76" s="41"/>
      <c r="D76" s="44"/>
      <c r="E76" s="45"/>
      <c r="F76" s="45"/>
      <c r="G76" s="45"/>
      <c r="H76" s="45"/>
      <c r="I76" s="41"/>
      <c r="J76" s="44"/>
      <c r="K76" s="41"/>
      <c r="L76" s="48"/>
      <c r="M76" s="49"/>
    </row>
    <row r="77" spans="2:13" x14ac:dyDescent="0.25">
      <c r="B77" s="66" t="s">
        <v>8</v>
      </c>
      <c r="C77" s="67"/>
      <c r="D77" s="67"/>
      <c r="E77" s="67"/>
      <c r="F77" s="67"/>
      <c r="G77" s="67"/>
      <c r="H77" s="67"/>
      <c r="I77" s="67"/>
      <c r="J77" s="67"/>
      <c r="K77" s="67"/>
      <c r="L77" s="76">
        <f>SUM(L67:M76)</f>
        <v>0.28125</v>
      </c>
      <c r="M77" s="77"/>
    </row>
    <row r="78" spans="2:13" ht="15.75" thickBot="1" x14ac:dyDescent="0.3">
      <c r="B78" s="68"/>
      <c r="C78" s="69"/>
      <c r="D78" s="69"/>
      <c r="E78" s="69"/>
      <c r="F78" s="69"/>
      <c r="G78" s="69"/>
      <c r="H78" s="69"/>
      <c r="I78" s="69"/>
      <c r="J78" s="69"/>
      <c r="K78" s="69"/>
      <c r="L78" s="78"/>
      <c r="M78" s="79"/>
    </row>
  </sheetData>
  <mergeCells count="127">
    <mergeCell ref="B77:C78"/>
    <mergeCell ref="D77:K78"/>
    <mergeCell ref="L77:M78"/>
    <mergeCell ref="B75:C76"/>
    <mergeCell ref="D75:I76"/>
    <mergeCell ref="J75:K76"/>
    <mergeCell ref="L75:M76"/>
    <mergeCell ref="B71:C72"/>
    <mergeCell ref="D71:I72"/>
    <mergeCell ref="J71:K72"/>
    <mergeCell ref="L71:M72"/>
    <mergeCell ref="B73:C74"/>
    <mergeCell ref="D73:I74"/>
    <mergeCell ref="J73:K74"/>
    <mergeCell ref="L73:M74"/>
    <mergeCell ref="B67:C68"/>
    <mergeCell ref="D67:I68"/>
    <mergeCell ref="J67:K68"/>
    <mergeCell ref="L67:M68"/>
    <mergeCell ref="B69:C70"/>
    <mergeCell ref="D69:I70"/>
    <mergeCell ref="J69:K70"/>
    <mergeCell ref="L69:M70"/>
    <mergeCell ref="B60:C61"/>
    <mergeCell ref="D60:K61"/>
    <mergeCell ref="L60:M61"/>
    <mergeCell ref="B63:K64"/>
    <mergeCell ref="L63:M64"/>
    <mergeCell ref="B65:C66"/>
    <mergeCell ref="D65:I66"/>
    <mergeCell ref="J65:K66"/>
    <mergeCell ref="L65:M66"/>
    <mergeCell ref="B56:C57"/>
    <mergeCell ref="D56:I57"/>
    <mergeCell ref="J56:K57"/>
    <mergeCell ref="L56:M57"/>
    <mergeCell ref="B58:C59"/>
    <mergeCell ref="D58:I59"/>
    <mergeCell ref="J58:K59"/>
    <mergeCell ref="L58:M59"/>
    <mergeCell ref="B52:C53"/>
    <mergeCell ref="D52:I53"/>
    <mergeCell ref="J52:K53"/>
    <mergeCell ref="L52:M53"/>
    <mergeCell ref="B54:C55"/>
    <mergeCell ref="D54:I55"/>
    <mergeCell ref="J54:K55"/>
    <mergeCell ref="L54:M55"/>
    <mergeCell ref="B45:C46"/>
    <mergeCell ref="D45:K46"/>
    <mergeCell ref="L45:M46"/>
    <mergeCell ref="B48:K49"/>
    <mergeCell ref="L48:M49"/>
    <mergeCell ref="B50:C51"/>
    <mergeCell ref="D50:I51"/>
    <mergeCell ref="J50:K51"/>
    <mergeCell ref="L50:M51"/>
    <mergeCell ref="B43:C44"/>
    <mergeCell ref="D43:I44"/>
    <mergeCell ref="J43:K44"/>
    <mergeCell ref="L43:M44"/>
    <mergeCell ref="B39:C40"/>
    <mergeCell ref="D39:I40"/>
    <mergeCell ref="J39:K40"/>
    <mergeCell ref="L39:M40"/>
    <mergeCell ref="B41:C42"/>
    <mergeCell ref="D41:I42"/>
    <mergeCell ref="J41:K42"/>
    <mergeCell ref="L41:M42"/>
    <mergeCell ref="B35:C36"/>
    <mergeCell ref="D35:I36"/>
    <mergeCell ref="J35:K36"/>
    <mergeCell ref="L35:M36"/>
    <mergeCell ref="B37:C38"/>
    <mergeCell ref="D37:I38"/>
    <mergeCell ref="J37:K38"/>
    <mergeCell ref="L37:M38"/>
    <mergeCell ref="B31:K32"/>
    <mergeCell ref="L31:M32"/>
    <mergeCell ref="B33:C34"/>
    <mergeCell ref="D33:I34"/>
    <mergeCell ref="J33:K34"/>
    <mergeCell ref="L33:M34"/>
    <mergeCell ref="B26:C27"/>
    <mergeCell ref="D26:I27"/>
    <mergeCell ref="J26:K27"/>
    <mergeCell ref="L26:M27"/>
    <mergeCell ref="B28:C29"/>
    <mergeCell ref="D28:K29"/>
    <mergeCell ref="L28:M29"/>
    <mergeCell ref="B22:K23"/>
    <mergeCell ref="L22:M23"/>
    <mergeCell ref="B24:C25"/>
    <mergeCell ref="D24:I25"/>
    <mergeCell ref="J24:K25"/>
    <mergeCell ref="L24:M25"/>
    <mergeCell ref="B19:C20"/>
    <mergeCell ref="D19:K20"/>
    <mergeCell ref="L19:M20"/>
    <mergeCell ref="B17:C18"/>
    <mergeCell ref="D17:I18"/>
    <mergeCell ref="J17:K18"/>
    <mergeCell ref="L17:M18"/>
    <mergeCell ref="B15:C16"/>
    <mergeCell ref="D15:I16"/>
    <mergeCell ref="J15:K16"/>
    <mergeCell ref="L15:M16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9286-55A1-4118-911B-77969CD083C9}">
  <dimension ref="B2:M86"/>
  <sheetViews>
    <sheetView topLeftCell="A38" workbookViewId="0">
      <selection activeCell="P89" sqref="P89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9</v>
      </c>
      <c r="E3" s="30" t="s">
        <v>1</v>
      </c>
      <c r="F3" s="31"/>
      <c r="G3" s="85">
        <v>2</v>
      </c>
      <c r="H3" s="36" t="s">
        <v>2</v>
      </c>
      <c r="I3" s="20">
        <v>45346</v>
      </c>
      <c r="J3" s="20"/>
      <c r="K3" s="18" t="s">
        <v>3</v>
      </c>
      <c r="L3" s="20">
        <v>45350</v>
      </c>
      <c r="M3" s="21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SUM(L27,L36,L53,L68,L85)</f>
        <v>0.90625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ht="15" customHeight="1" x14ac:dyDescent="0.25">
      <c r="B17" s="38" t="s">
        <v>55</v>
      </c>
      <c r="C17" s="39"/>
      <c r="D17" s="42" t="s">
        <v>98</v>
      </c>
      <c r="E17" s="43"/>
      <c r="F17" s="43"/>
      <c r="G17" s="43"/>
      <c r="H17" s="43"/>
      <c r="I17" s="39"/>
      <c r="J17" s="42"/>
      <c r="K17" s="39"/>
      <c r="L17" s="46">
        <v>8.3333333333333329E-2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ht="15" customHeight="1" x14ac:dyDescent="0.25">
      <c r="B19" s="38" t="s">
        <v>64</v>
      </c>
      <c r="C19" s="39"/>
      <c r="D19" s="42" t="s">
        <v>99</v>
      </c>
      <c r="E19" s="43"/>
      <c r="F19" s="43"/>
      <c r="G19" s="43"/>
      <c r="H19" s="43"/>
      <c r="I19" s="39"/>
      <c r="J19" s="42"/>
      <c r="K19" s="39"/>
      <c r="L19" s="46">
        <v>2.7777777777777776E-2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ht="15" customHeight="1" x14ac:dyDescent="0.25">
      <c r="B21" s="38" t="s">
        <v>55</v>
      </c>
      <c r="C21" s="39"/>
      <c r="D21" s="42" t="s">
        <v>100</v>
      </c>
      <c r="E21" s="43"/>
      <c r="F21" s="43"/>
      <c r="G21" s="43"/>
      <c r="H21" s="43"/>
      <c r="I21" s="39"/>
      <c r="J21" s="42"/>
      <c r="K21" s="39"/>
      <c r="L21" s="46">
        <v>6.25E-2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ht="15" customHeight="1" x14ac:dyDescent="0.25">
      <c r="B23" s="38" t="s">
        <v>101</v>
      </c>
      <c r="C23" s="39"/>
      <c r="D23" s="42" t="s">
        <v>54</v>
      </c>
      <c r="E23" s="43"/>
      <c r="F23" s="43"/>
      <c r="G23" s="43"/>
      <c r="H23" s="43"/>
      <c r="I23" s="39"/>
      <c r="J23" s="42"/>
      <c r="K23" s="39"/>
      <c r="L23" s="46">
        <v>2.4305555555555556E-2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ht="15" customHeight="1" x14ac:dyDescent="0.25">
      <c r="B25" s="38" t="s">
        <v>101</v>
      </c>
      <c r="C25" s="39"/>
      <c r="D25" s="42" t="s">
        <v>102</v>
      </c>
      <c r="E25" s="43"/>
      <c r="F25" s="43"/>
      <c r="G25" s="43"/>
      <c r="H25" s="43"/>
      <c r="I25" s="39"/>
      <c r="J25" s="42"/>
      <c r="K25" s="39"/>
      <c r="L25" s="46">
        <v>2.0833333333333332E-2</v>
      </c>
      <c r="M25" s="47"/>
    </row>
    <row r="26" spans="2:13" ht="15.75" thickBot="1" x14ac:dyDescent="0.3">
      <c r="B26" s="40"/>
      <c r="C26" s="41"/>
      <c r="D26" s="44"/>
      <c r="E26" s="45"/>
      <c r="F26" s="45"/>
      <c r="G26" s="45"/>
      <c r="H26" s="45"/>
      <c r="I26" s="41"/>
      <c r="J26" s="44"/>
      <c r="K26" s="41"/>
      <c r="L26" s="48"/>
      <c r="M26" s="49"/>
    </row>
    <row r="27" spans="2:13" x14ac:dyDescent="0.25">
      <c r="B27" s="66" t="s">
        <v>8</v>
      </c>
      <c r="C27" s="67"/>
      <c r="D27" s="67"/>
      <c r="E27" s="67"/>
      <c r="F27" s="67"/>
      <c r="G27" s="67"/>
      <c r="H27" s="67"/>
      <c r="I27" s="67"/>
      <c r="J27" s="67"/>
      <c r="K27" s="67"/>
      <c r="L27" s="76">
        <f>SUM(L17:M26)</f>
        <v>0.21875</v>
      </c>
      <c r="M27" s="77"/>
    </row>
    <row r="28" spans="2:13" ht="15.75" thickBot="1" x14ac:dyDescent="0.3"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78"/>
      <c r="M28" s="79"/>
    </row>
    <row r="29" spans="2:13" ht="15.75" thickBot="1" x14ac:dyDescent="0.3"/>
    <row r="30" spans="2:13" x14ac:dyDescent="0.25">
      <c r="B30" s="14" t="s">
        <v>11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60"/>
    </row>
    <row r="31" spans="2:13" ht="15.75" thickBot="1" x14ac:dyDescent="0.3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61"/>
    </row>
    <row r="32" spans="2:13" ht="15" customHeight="1" x14ac:dyDescent="0.25">
      <c r="B32" s="8" t="s">
        <v>5</v>
      </c>
      <c r="C32" s="9"/>
      <c r="D32" s="8" t="s">
        <v>6</v>
      </c>
      <c r="E32" s="12"/>
      <c r="F32" s="12"/>
      <c r="G32" s="12"/>
      <c r="H32" s="12"/>
      <c r="I32" s="9"/>
      <c r="J32" s="8" t="s">
        <v>7</v>
      </c>
      <c r="K32" s="9"/>
      <c r="L32" s="8" t="s">
        <v>10</v>
      </c>
      <c r="M32" s="9"/>
    </row>
    <row r="33" spans="2:13" ht="15.75" thickBot="1" x14ac:dyDescent="0.3">
      <c r="B33" s="10"/>
      <c r="C33" s="11"/>
      <c r="D33" s="10"/>
      <c r="E33" s="13"/>
      <c r="F33" s="13"/>
      <c r="G33" s="13"/>
      <c r="H33" s="13"/>
      <c r="I33" s="11"/>
      <c r="J33" s="10"/>
      <c r="K33" s="11"/>
      <c r="L33" s="10"/>
      <c r="M33" s="11"/>
    </row>
    <row r="34" spans="2:13" x14ac:dyDescent="0.25">
      <c r="B34" s="8" t="s">
        <v>15</v>
      </c>
      <c r="C34" s="12"/>
      <c r="D34" s="12"/>
      <c r="E34" s="12"/>
      <c r="F34" s="12"/>
      <c r="G34" s="12"/>
      <c r="H34" s="12"/>
      <c r="I34" s="12"/>
      <c r="J34" s="12"/>
      <c r="K34" s="12"/>
      <c r="L34" s="70">
        <v>0</v>
      </c>
      <c r="M34" s="47"/>
    </row>
    <row r="35" spans="2:13" ht="15.75" thickBot="1" x14ac:dyDescent="0.3">
      <c r="B35" s="10"/>
      <c r="C35" s="13"/>
      <c r="D35" s="13"/>
      <c r="E35" s="13"/>
      <c r="F35" s="13"/>
      <c r="G35" s="13"/>
      <c r="H35" s="13"/>
      <c r="I35" s="13"/>
      <c r="J35" s="13"/>
      <c r="K35" s="13"/>
      <c r="L35" s="71"/>
      <c r="M35" s="49"/>
    </row>
    <row r="36" spans="2:13" x14ac:dyDescent="0.25">
      <c r="B36" s="66" t="s">
        <v>8</v>
      </c>
      <c r="C36" s="67"/>
      <c r="D36" s="67"/>
      <c r="E36" s="67"/>
      <c r="F36" s="67"/>
      <c r="G36" s="67"/>
      <c r="H36" s="67"/>
      <c r="I36" s="67"/>
      <c r="J36" s="67"/>
      <c r="K36" s="67"/>
      <c r="L36" s="76">
        <f>SUM(L35:M35)</f>
        <v>0</v>
      </c>
      <c r="M36" s="77"/>
    </row>
    <row r="37" spans="2:13" ht="15.75" thickBot="1" x14ac:dyDescent="0.3">
      <c r="B37" s="68"/>
      <c r="C37" s="69"/>
      <c r="D37" s="69"/>
      <c r="E37" s="69"/>
      <c r="F37" s="69"/>
      <c r="G37" s="69"/>
      <c r="H37" s="69"/>
      <c r="I37" s="69"/>
      <c r="J37" s="69"/>
      <c r="K37" s="69"/>
      <c r="L37" s="78"/>
      <c r="M37" s="79"/>
    </row>
    <row r="38" spans="2:13" ht="15.75" thickBot="1" x14ac:dyDescent="0.3"/>
    <row r="39" spans="2:13" x14ac:dyDescent="0.25">
      <c r="B39" s="14" t="s">
        <v>12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60"/>
    </row>
    <row r="40" spans="2:13" ht="15.75" thickBot="1" x14ac:dyDescent="0.3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61"/>
    </row>
    <row r="41" spans="2:13" ht="15" customHeight="1" x14ac:dyDescent="0.25">
      <c r="B41" s="8" t="s">
        <v>5</v>
      </c>
      <c r="C41" s="9"/>
      <c r="D41" s="8" t="s">
        <v>6</v>
      </c>
      <c r="E41" s="12"/>
      <c r="F41" s="12"/>
      <c r="G41" s="12"/>
      <c r="H41" s="12"/>
      <c r="I41" s="9"/>
      <c r="J41" s="8" t="s">
        <v>7</v>
      </c>
      <c r="K41" s="9"/>
      <c r="L41" s="8" t="s">
        <v>10</v>
      </c>
      <c r="M41" s="9"/>
    </row>
    <row r="42" spans="2:13" ht="15.75" thickBot="1" x14ac:dyDescent="0.3">
      <c r="B42" s="10"/>
      <c r="C42" s="11"/>
      <c r="D42" s="10"/>
      <c r="E42" s="13"/>
      <c r="F42" s="13"/>
      <c r="G42" s="13"/>
      <c r="H42" s="13"/>
      <c r="I42" s="11"/>
      <c r="J42" s="10"/>
      <c r="K42" s="11"/>
      <c r="L42" s="10"/>
      <c r="M42" s="11"/>
    </row>
    <row r="43" spans="2:13" ht="15" customHeight="1" x14ac:dyDescent="0.25">
      <c r="B43" s="38" t="s">
        <v>64</v>
      </c>
      <c r="C43" s="39"/>
      <c r="D43" s="42" t="s">
        <v>65</v>
      </c>
      <c r="E43" s="43"/>
      <c r="F43" s="43"/>
      <c r="G43" s="43"/>
      <c r="H43" s="43"/>
      <c r="I43" s="39"/>
      <c r="J43" s="42"/>
      <c r="K43" s="39"/>
      <c r="L43" s="46">
        <v>3.472222222222222E-3</v>
      </c>
      <c r="M43" s="47"/>
    </row>
    <row r="44" spans="2:13" ht="15.75" thickBot="1" x14ac:dyDescent="0.3">
      <c r="B44" s="40"/>
      <c r="C44" s="41"/>
      <c r="D44" s="44"/>
      <c r="E44" s="45"/>
      <c r="F44" s="45"/>
      <c r="G44" s="45"/>
      <c r="H44" s="45"/>
      <c r="I44" s="41"/>
      <c r="J44" s="44"/>
      <c r="K44" s="41"/>
      <c r="L44" s="48"/>
      <c r="M44" s="49"/>
    </row>
    <row r="45" spans="2:13" ht="15" customHeight="1" x14ac:dyDescent="0.25">
      <c r="B45" s="38" t="s">
        <v>55</v>
      </c>
      <c r="C45" s="39"/>
      <c r="D45" s="42" t="s">
        <v>103</v>
      </c>
      <c r="E45" s="43"/>
      <c r="F45" s="43"/>
      <c r="G45" s="43"/>
      <c r="H45" s="43"/>
      <c r="I45" s="39"/>
      <c r="J45" s="42"/>
      <c r="K45" s="39"/>
      <c r="L45" s="46">
        <v>6.25E-2</v>
      </c>
      <c r="M45" s="47"/>
    </row>
    <row r="46" spans="2:13" ht="15.75" thickBot="1" x14ac:dyDescent="0.3">
      <c r="B46" s="40"/>
      <c r="C46" s="41"/>
      <c r="D46" s="44"/>
      <c r="E46" s="45"/>
      <c r="F46" s="45"/>
      <c r="G46" s="45"/>
      <c r="H46" s="45"/>
      <c r="I46" s="41"/>
      <c r="J46" s="44"/>
      <c r="K46" s="41"/>
      <c r="L46" s="48"/>
      <c r="M46" s="49"/>
    </row>
    <row r="47" spans="2:13" ht="15" customHeight="1" x14ac:dyDescent="0.25">
      <c r="B47" s="38" t="s">
        <v>55</v>
      </c>
      <c r="C47" s="39"/>
      <c r="D47" s="42" t="s">
        <v>104</v>
      </c>
      <c r="E47" s="43"/>
      <c r="F47" s="43"/>
      <c r="G47" s="43"/>
      <c r="H47" s="43"/>
      <c r="I47" s="39"/>
      <c r="J47" s="42"/>
      <c r="K47" s="39"/>
      <c r="L47" s="46">
        <v>0.14583333333333334</v>
      </c>
      <c r="M47" s="47"/>
    </row>
    <row r="48" spans="2:13" ht="15.75" thickBot="1" x14ac:dyDescent="0.3">
      <c r="B48" s="40"/>
      <c r="C48" s="41"/>
      <c r="D48" s="44"/>
      <c r="E48" s="45"/>
      <c r="F48" s="45"/>
      <c r="G48" s="45"/>
      <c r="H48" s="45"/>
      <c r="I48" s="41"/>
      <c r="J48" s="44"/>
      <c r="K48" s="41"/>
      <c r="L48" s="48"/>
      <c r="M48" s="49"/>
    </row>
    <row r="49" spans="2:13" ht="15" customHeight="1" x14ac:dyDescent="0.25">
      <c r="B49" s="38" t="s">
        <v>101</v>
      </c>
      <c r="C49" s="39"/>
      <c r="D49" s="42" t="s">
        <v>105</v>
      </c>
      <c r="E49" s="43"/>
      <c r="F49" s="43"/>
      <c r="G49" s="43"/>
      <c r="H49" s="43"/>
      <c r="I49" s="39"/>
      <c r="J49" s="42"/>
      <c r="K49" s="39"/>
      <c r="L49" s="46">
        <v>4.8611111111111112E-2</v>
      </c>
      <c r="M49" s="47"/>
    </row>
    <row r="50" spans="2:13" ht="15.75" thickBot="1" x14ac:dyDescent="0.3">
      <c r="B50" s="40"/>
      <c r="C50" s="41"/>
      <c r="D50" s="44"/>
      <c r="E50" s="45"/>
      <c r="F50" s="45"/>
      <c r="G50" s="45"/>
      <c r="H50" s="45"/>
      <c r="I50" s="41"/>
      <c r="J50" s="44"/>
      <c r="K50" s="41"/>
      <c r="L50" s="48"/>
      <c r="M50" s="49"/>
    </row>
    <row r="51" spans="2:13" ht="15" customHeight="1" x14ac:dyDescent="0.25">
      <c r="B51" s="38" t="s">
        <v>55</v>
      </c>
      <c r="C51" s="39"/>
      <c r="D51" s="42" t="s">
        <v>108</v>
      </c>
      <c r="E51" s="43"/>
      <c r="F51" s="43"/>
      <c r="G51" s="43"/>
      <c r="H51" s="43"/>
      <c r="I51" s="39"/>
      <c r="J51" s="42"/>
      <c r="K51" s="39"/>
      <c r="L51" s="46">
        <v>2.0833333333333332E-2</v>
      </c>
      <c r="M51" s="47"/>
    </row>
    <row r="52" spans="2:13" ht="15.75" thickBot="1" x14ac:dyDescent="0.3">
      <c r="B52" s="40"/>
      <c r="C52" s="41"/>
      <c r="D52" s="44"/>
      <c r="E52" s="45"/>
      <c r="F52" s="45"/>
      <c r="G52" s="45"/>
      <c r="H52" s="45"/>
      <c r="I52" s="41"/>
      <c r="J52" s="44"/>
      <c r="K52" s="41"/>
      <c r="L52" s="48"/>
      <c r="M52" s="49"/>
    </row>
    <row r="53" spans="2:13" x14ac:dyDescent="0.25">
      <c r="B53" s="66" t="s">
        <v>8</v>
      </c>
      <c r="C53" s="67"/>
      <c r="D53" s="67"/>
      <c r="E53" s="67"/>
      <c r="F53" s="67"/>
      <c r="G53" s="67"/>
      <c r="H53" s="67"/>
      <c r="I53" s="67"/>
      <c r="J53" s="67"/>
      <c r="K53" s="67"/>
      <c r="L53" s="76">
        <f>SUM(L43:M52)</f>
        <v>0.28125</v>
      </c>
      <c r="M53" s="77"/>
    </row>
    <row r="54" spans="2:13" ht="15.75" thickBot="1" x14ac:dyDescent="0.3">
      <c r="B54" s="68"/>
      <c r="C54" s="69"/>
      <c r="D54" s="69"/>
      <c r="E54" s="69"/>
      <c r="F54" s="69"/>
      <c r="G54" s="69"/>
      <c r="H54" s="69"/>
      <c r="I54" s="69"/>
      <c r="J54" s="69"/>
      <c r="K54" s="69"/>
      <c r="L54" s="78"/>
      <c r="M54" s="79"/>
    </row>
    <row r="55" spans="2:13" ht="15.75" thickBot="1" x14ac:dyDescent="0.3"/>
    <row r="56" spans="2:13" x14ac:dyDescent="0.25">
      <c r="B56" s="14" t="s">
        <v>13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60"/>
    </row>
    <row r="57" spans="2:13" ht="15.75" thickBot="1" x14ac:dyDescent="0.3"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61"/>
    </row>
    <row r="58" spans="2:13" ht="15" customHeight="1" x14ac:dyDescent="0.25">
      <c r="B58" s="8" t="s">
        <v>5</v>
      </c>
      <c r="C58" s="9"/>
      <c r="D58" s="8" t="s">
        <v>6</v>
      </c>
      <c r="E58" s="12"/>
      <c r="F58" s="12"/>
      <c r="G58" s="12"/>
      <c r="H58" s="12"/>
      <c r="I58" s="9"/>
      <c r="J58" s="8" t="s">
        <v>7</v>
      </c>
      <c r="K58" s="9"/>
      <c r="L58" s="8" t="s">
        <v>10</v>
      </c>
      <c r="M58" s="9"/>
    </row>
    <row r="59" spans="2:13" ht="15.75" thickBot="1" x14ac:dyDescent="0.3">
      <c r="B59" s="10"/>
      <c r="C59" s="11"/>
      <c r="D59" s="10"/>
      <c r="E59" s="13"/>
      <c r="F59" s="13"/>
      <c r="G59" s="13"/>
      <c r="H59" s="13"/>
      <c r="I59" s="11"/>
      <c r="J59" s="10"/>
      <c r="K59" s="11"/>
      <c r="L59" s="10"/>
      <c r="M59" s="11"/>
    </row>
    <row r="60" spans="2:13" ht="15" customHeight="1" x14ac:dyDescent="0.25">
      <c r="B60" s="38" t="s">
        <v>64</v>
      </c>
      <c r="C60" s="39"/>
      <c r="D60" s="42" t="s">
        <v>65</v>
      </c>
      <c r="E60" s="43"/>
      <c r="F60" s="43"/>
      <c r="G60" s="43"/>
      <c r="H60" s="43"/>
      <c r="I60" s="39"/>
      <c r="J60" s="42"/>
      <c r="K60" s="39"/>
      <c r="L60" s="46">
        <v>3.472222222222222E-3</v>
      </c>
      <c r="M60" s="47"/>
    </row>
    <row r="61" spans="2:13" ht="15.75" thickBot="1" x14ac:dyDescent="0.3">
      <c r="B61" s="40"/>
      <c r="C61" s="41"/>
      <c r="D61" s="44"/>
      <c r="E61" s="45"/>
      <c r="F61" s="45"/>
      <c r="G61" s="45"/>
      <c r="H61" s="45"/>
      <c r="I61" s="41"/>
      <c r="J61" s="44"/>
      <c r="K61" s="41"/>
      <c r="L61" s="48"/>
      <c r="M61" s="49"/>
    </row>
    <row r="62" spans="2:13" ht="15" customHeight="1" x14ac:dyDescent="0.25">
      <c r="B62" s="38" t="s">
        <v>106</v>
      </c>
      <c r="C62" s="39"/>
      <c r="D62" s="42" t="s">
        <v>107</v>
      </c>
      <c r="E62" s="43"/>
      <c r="F62" s="43"/>
      <c r="G62" s="43"/>
      <c r="H62" s="43"/>
      <c r="I62" s="39"/>
      <c r="J62" s="42"/>
      <c r="K62" s="39"/>
      <c r="L62" s="46">
        <v>6.25E-2</v>
      </c>
      <c r="M62" s="47"/>
    </row>
    <row r="63" spans="2:13" ht="15.75" thickBot="1" x14ac:dyDescent="0.3">
      <c r="B63" s="40"/>
      <c r="C63" s="41"/>
      <c r="D63" s="44"/>
      <c r="E63" s="45"/>
      <c r="F63" s="45"/>
      <c r="G63" s="45"/>
      <c r="H63" s="45"/>
      <c r="I63" s="41"/>
      <c r="J63" s="44"/>
      <c r="K63" s="41"/>
      <c r="L63" s="48"/>
      <c r="M63" s="49"/>
    </row>
    <row r="64" spans="2:13" ht="15" customHeight="1" x14ac:dyDescent="0.25">
      <c r="B64" s="38" t="s">
        <v>47</v>
      </c>
      <c r="C64" s="39"/>
      <c r="D64" s="42" t="s">
        <v>110</v>
      </c>
      <c r="E64" s="43"/>
      <c r="F64" s="43"/>
      <c r="G64" s="43"/>
      <c r="H64" s="43"/>
      <c r="I64" s="39"/>
      <c r="J64" s="42"/>
      <c r="K64" s="39"/>
      <c r="L64" s="46">
        <v>2.0833333333333332E-2</v>
      </c>
      <c r="M64" s="47"/>
    </row>
    <row r="65" spans="2:13" ht="15.75" thickBot="1" x14ac:dyDescent="0.3">
      <c r="B65" s="40"/>
      <c r="C65" s="41"/>
      <c r="D65" s="44"/>
      <c r="E65" s="45"/>
      <c r="F65" s="45"/>
      <c r="G65" s="45"/>
      <c r="H65" s="45"/>
      <c r="I65" s="41"/>
      <c r="J65" s="44"/>
      <c r="K65" s="41"/>
      <c r="L65" s="48"/>
      <c r="M65" s="49"/>
    </row>
    <row r="66" spans="2:13" ht="15" customHeight="1" x14ac:dyDescent="0.25">
      <c r="B66" s="38" t="s">
        <v>55</v>
      </c>
      <c r="C66" s="39"/>
      <c r="D66" s="42" t="s">
        <v>109</v>
      </c>
      <c r="E66" s="43"/>
      <c r="F66" s="43"/>
      <c r="G66" s="43"/>
      <c r="H66" s="43"/>
      <c r="I66" s="39"/>
      <c r="J66" s="42"/>
      <c r="K66" s="39"/>
      <c r="L66" s="46">
        <v>3.8194444444444441E-2</v>
      </c>
      <c r="M66" s="47"/>
    </row>
    <row r="67" spans="2:13" ht="15.75" thickBot="1" x14ac:dyDescent="0.3">
      <c r="B67" s="40"/>
      <c r="C67" s="41"/>
      <c r="D67" s="44"/>
      <c r="E67" s="45"/>
      <c r="F67" s="45"/>
      <c r="G67" s="45"/>
      <c r="H67" s="45"/>
      <c r="I67" s="41"/>
      <c r="J67" s="44"/>
      <c r="K67" s="41"/>
      <c r="L67" s="48"/>
      <c r="M67" s="49"/>
    </row>
    <row r="68" spans="2:13" x14ac:dyDescent="0.25">
      <c r="B68" s="66" t="s">
        <v>8</v>
      </c>
      <c r="C68" s="67"/>
      <c r="D68" s="67"/>
      <c r="E68" s="67"/>
      <c r="F68" s="67"/>
      <c r="G68" s="67"/>
      <c r="H68" s="67"/>
      <c r="I68" s="67"/>
      <c r="J68" s="67"/>
      <c r="K68" s="67"/>
      <c r="L68" s="76">
        <f>SUM(L60:M67)</f>
        <v>0.125</v>
      </c>
      <c r="M68" s="77"/>
    </row>
    <row r="69" spans="2:13" ht="15.75" thickBot="1" x14ac:dyDescent="0.3">
      <c r="B69" s="68"/>
      <c r="C69" s="69"/>
      <c r="D69" s="69"/>
      <c r="E69" s="69"/>
      <c r="F69" s="69"/>
      <c r="G69" s="69"/>
      <c r="H69" s="69"/>
      <c r="I69" s="69"/>
      <c r="J69" s="69"/>
      <c r="K69" s="69"/>
      <c r="L69" s="78"/>
      <c r="M69" s="79"/>
    </row>
    <row r="70" spans="2:13" ht="15.75" thickBot="1" x14ac:dyDescent="0.3"/>
    <row r="71" spans="2:13" x14ac:dyDescent="0.25">
      <c r="B71" s="14" t="s">
        <v>14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60"/>
    </row>
    <row r="72" spans="2:13" ht="15.75" thickBot="1" x14ac:dyDescent="0.3"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61"/>
    </row>
    <row r="73" spans="2:13" ht="15" customHeight="1" x14ac:dyDescent="0.25">
      <c r="B73" s="8" t="s">
        <v>5</v>
      </c>
      <c r="C73" s="9"/>
      <c r="D73" s="8" t="s">
        <v>6</v>
      </c>
      <c r="E73" s="12"/>
      <c r="F73" s="12"/>
      <c r="G73" s="12"/>
      <c r="H73" s="12"/>
      <c r="I73" s="9"/>
      <c r="J73" s="8" t="s">
        <v>7</v>
      </c>
      <c r="K73" s="9"/>
      <c r="L73" s="8" t="s">
        <v>10</v>
      </c>
      <c r="M73" s="9"/>
    </row>
    <row r="74" spans="2:13" ht="15.75" thickBot="1" x14ac:dyDescent="0.3">
      <c r="B74" s="10"/>
      <c r="C74" s="11"/>
      <c r="D74" s="10"/>
      <c r="E74" s="13"/>
      <c r="F74" s="13"/>
      <c r="G74" s="13"/>
      <c r="H74" s="13"/>
      <c r="I74" s="11"/>
      <c r="J74" s="10"/>
      <c r="K74" s="11"/>
      <c r="L74" s="10"/>
      <c r="M74" s="11"/>
    </row>
    <row r="75" spans="2:13" ht="15" customHeight="1" x14ac:dyDescent="0.25">
      <c r="B75" s="38" t="s">
        <v>64</v>
      </c>
      <c r="C75" s="39"/>
      <c r="D75" s="42" t="s">
        <v>65</v>
      </c>
      <c r="E75" s="43"/>
      <c r="F75" s="43"/>
      <c r="G75" s="43"/>
      <c r="H75" s="43"/>
      <c r="I75" s="39"/>
      <c r="J75" s="42"/>
      <c r="K75" s="39"/>
      <c r="L75" s="46">
        <v>3.472222222222222E-3</v>
      </c>
      <c r="M75" s="47"/>
    </row>
    <row r="76" spans="2:13" ht="15.75" thickBot="1" x14ac:dyDescent="0.3">
      <c r="B76" s="40"/>
      <c r="C76" s="41"/>
      <c r="D76" s="44"/>
      <c r="E76" s="45"/>
      <c r="F76" s="45"/>
      <c r="G76" s="45"/>
      <c r="H76" s="45"/>
      <c r="I76" s="41"/>
      <c r="J76" s="44"/>
      <c r="K76" s="41"/>
      <c r="L76" s="48"/>
      <c r="M76" s="49"/>
    </row>
    <row r="77" spans="2:13" ht="15" customHeight="1" x14ac:dyDescent="0.25">
      <c r="B77" s="38" t="s">
        <v>55</v>
      </c>
      <c r="C77" s="39"/>
      <c r="D77" s="42" t="s">
        <v>111</v>
      </c>
      <c r="E77" s="43"/>
      <c r="F77" s="43"/>
      <c r="G77" s="43"/>
      <c r="H77" s="43"/>
      <c r="I77" s="39"/>
      <c r="J77" s="42"/>
      <c r="K77" s="39"/>
      <c r="L77" s="46">
        <v>7.9861111111111105E-2</v>
      </c>
      <c r="M77" s="47"/>
    </row>
    <row r="78" spans="2:13" ht="15.75" thickBot="1" x14ac:dyDescent="0.3">
      <c r="B78" s="40"/>
      <c r="C78" s="41"/>
      <c r="D78" s="44"/>
      <c r="E78" s="45"/>
      <c r="F78" s="45"/>
      <c r="G78" s="45"/>
      <c r="H78" s="45"/>
      <c r="I78" s="41"/>
      <c r="J78" s="44"/>
      <c r="K78" s="41"/>
      <c r="L78" s="48"/>
      <c r="M78" s="49"/>
    </row>
    <row r="79" spans="2:13" ht="15" customHeight="1" x14ac:dyDescent="0.25">
      <c r="B79" s="38" t="s">
        <v>106</v>
      </c>
      <c r="C79" s="39"/>
      <c r="D79" s="42" t="s">
        <v>112</v>
      </c>
      <c r="E79" s="43"/>
      <c r="F79" s="43"/>
      <c r="G79" s="43"/>
      <c r="H79" s="43"/>
      <c r="I79" s="39"/>
      <c r="J79" s="42"/>
      <c r="K79" s="39"/>
      <c r="L79" s="46">
        <v>8.6805555555555566E-2</v>
      </c>
      <c r="M79" s="47"/>
    </row>
    <row r="80" spans="2:13" ht="15.75" thickBot="1" x14ac:dyDescent="0.3">
      <c r="B80" s="40"/>
      <c r="C80" s="41"/>
      <c r="D80" s="44"/>
      <c r="E80" s="45"/>
      <c r="F80" s="45"/>
      <c r="G80" s="45"/>
      <c r="H80" s="45"/>
      <c r="I80" s="41"/>
      <c r="J80" s="44"/>
      <c r="K80" s="41"/>
      <c r="L80" s="48"/>
      <c r="M80" s="49"/>
    </row>
    <row r="81" spans="2:13" ht="15" customHeight="1" x14ac:dyDescent="0.25">
      <c r="B81" s="38" t="s">
        <v>55</v>
      </c>
      <c r="C81" s="39"/>
      <c r="D81" s="42" t="s">
        <v>113</v>
      </c>
      <c r="E81" s="43"/>
      <c r="F81" s="43"/>
      <c r="G81" s="43"/>
      <c r="H81" s="43"/>
      <c r="I81" s="39"/>
      <c r="J81" s="42"/>
      <c r="K81" s="39"/>
      <c r="L81" s="46">
        <v>6.25E-2</v>
      </c>
      <c r="M81" s="47"/>
    </row>
    <row r="82" spans="2:13" ht="15.75" thickBot="1" x14ac:dyDescent="0.3">
      <c r="B82" s="40"/>
      <c r="C82" s="41"/>
      <c r="D82" s="44"/>
      <c r="E82" s="45"/>
      <c r="F82" s="45"/>
      <c r="G82" s="45"/>
      <c r="H82" s="45"/>
      <c r="I82" s="41"/>
      <c r="J82" s="44"/>
      <c r="K82" s="41"/>
      <c r="L82" s="48"/>
      <c r="M82" s="49"/>
    </row>
    <row r="83" spans="2:13" ht="15" customHeight="1" x14ac:dyDescent="0.25">
      <c r="B83" s="38" t="s">
        <v>55</v>
      </c>
      <c r="C83" s="39"/>
      <c r="D83" s="42" t="s">
        <v>109</v>
      </c>
      <c r="E83" s="43"/>
      <c r="F83" s="43"/>
      <c r="G83" s="43"/>
      <c r="H83" s="43"/>
      <c r="I83" s="39"/>
      <c r="J83" s="42"/>
      <c r="K83" s="39"/>
      <c r="L83" s="46">
        <v>4.8611111111111112E-2</v>
      </c>
      <c r="M83" s="47"/>
    </row>
    <row r="84" spans="2:13" ht="15.75" thickBot="1" x14ac:dyDescent="0.3">
      <c r="B84" s="40"/>
      <c r="C84" s="41"/>
      <c r="D84" s="44"/>
      <c r="E84" s="45"/>
      <c r="F84" s="45"/>
      <c r="G84" s="45"/>
      <c r="H84" s="45"/>
      <c r="I84" s="41"/>
      <c r="J84" s="44"/>
      <c r="K84" s="41"/>
      <c r="L84" s="48"/>
      <c r="M84" s="49"/>
    </row>
    <row r="85" spans="2:13" x14ac:dyDescent="0.25">
      <c r="B85" s="66" t="s">
        <v>8</v>
      </c>
      <c r="C85" s="67"/>
      <c r="D85" s="67"/>
      <c r="E85" s="67"/>
      <c r="F85" s="67"/>
      <c r="G85" s="67"/>
      <c r="H85" s="67"/>
      <c r="I85" s="67"/>
      <c r="J85" s="67"/>
      <c r="K85" s="67"/>
      <c r="L85" s="76">
        <f>SUM(L75:M84)</f>
        <v>0.28125</v>
      </c>
      <c r="M85" s="77"/>
    </row>
    <row r="86" spans="2:13" ht="15.75" thickBot="1" x14ac:dyDescent="0.3">
      <c r="B86" s="68"/>
      <c r="C86" s="69"/>
      <c r="D86" s="69"/>
      <c r="E86" s="69"/>
      <c r="F86" s="69"/>
      <c r="G86" s="69"/>
      <c r="H86" s="69"/>
      <c r="I86" s="69"/>
      <c r="J86" s="69"/>
      <c r="K86" s="69"/>
      <c r="L86" s="78"/>
      <c r="M86" s="79"/>
    </row>
  </sheetData>
  <mergeCells count="143">
    <mergeCell ref="B85:C86"/>
    <mergeCell ref="D85:K86"/>
    <mergeCell ref="L85:M86"/>
    <mergeCell ref="B83:C84"/>
    <mergeCell ref="D83:I84"/>
    <mergeCell ref="J83:K84"/>
    <mergeCell ref="L83:M84"/>
    <mergeCell ref="B79:C80"/>
    <mergeCell ref="D79:I80"/>
    <mergeCell ref="J79:K80"/>
    <mergeCell ref="L79:M80"/>
    <mergeCell ref="B81:C82"/>
    <mergeCell ref="D81:I82"/>
    <mergeCell ref="J81:K82"/>
    <mergeCell ref="L81:M82"/>
    <mergeCell ref="B75:C76"/>
    <mergeCell ref="D75:I76"/>
    <mergeCell ref="J75:K76"/>
    <mergeCell ref="L75:M76"/>
    <mergeCell ref="B77:C78"/>
    <mergeCell ref="D77:I78"/>
    <mergeCell ref="J77:K78"/>
    <mergeCell ref="L77:M78"/>
    <mergeCell ref="B68:C69"/>
    <mergeCell ref="D68:K69"/>
    <mergeCell ref="L68:M69"/>
    <mergeCell ref="B71:K72"/>
    <mergeCell ref="L71:M72"/>
    <mergeCell ref="B73:C74"/>
    <mergeCell ref="D73:I74"/>
    <mergeCell ref="J73:K74"/>
    <mergeCell ref="L73:M74"/>
    <mergeCell ref="B58:C59"/>
    <mergeCell ref="D58:I59"/>
    <mergeCell ref="J58:K59"/>
    <mergeCell ref="L58:M59"/>
    <mergeCell ref="B64:C65"/>
    <mergeCell ref="D64:I65"/>
    <mergeCell ref="J64:K65"/>
    <mergeCell ref="L64:M65"/>
    <mergeCell ref="B66:C67"/>
    <mergeCell ref="D66:I67"/>
    <mergeCell ref="J66:K67"/>
    <mergeCell ref="L66:M67"/>
    <mergeCell ref="B60:C61"/>
    <mergeCell ref="D60:I61"/>
    <mergeCell ref="J60:K61"/>
    <mergeCell ref="L60:M61"/>
    <mergeCell ref="B62:C63"/>
    <mergeCell ref="D62:I63"/>
    <mergeCell ref="J62:K63"/>
    <mergeCell ref="L62:M63"/>
    <mergeCell ref="B51:C52"/>
    <mergeCell ref="D51:I52"/>
    <mergeCell ref="J51:K52"/>
    <mergeCell ref="L51:M52"/>
    <mergeCell ref="B53:C54"/>
    <mergeCell ref="D53:K54"/>
    <mergeCell ref="L53:M54"/>
    <mergeCell ref="B56:K57"/>
    <mergeCell ref="L56:M57"/>
    <mergeCell ref="B47:C48"/>
    <mergeCell ref="D45:I46"/>
    <mergeCell ref="J47:K48"/>
    <mergeCell ref="L47:M48"/>
    <mergeCell ref="B49:C50"/>
    <mergeCell ref="D49:I50"/>
    <mergeCell ref="J49:K50"/>
    <mergeCell ref="L49:M50"/>
    <mergeCell ref="B43:C44"/>
    <mergeCell ref="D43:I44"/>
    <mergeCell ref="J43:K44"/>
    <mergeCell ref="L43:M44"/>
    <mergeCell ref="B45:C46"/>
    <mergeCell ref="J45:K46"/>
    <mergeCell ref="L45:M46"/>
    <mergeCell ref="D47:I48"/>
    <mergeCell ref="B41:C42"/>
    <mergeCell ref="D41:I42"/>
    <mergeCell ref="J41:K42"/>
    <mergeCell ref="L41:M42"/>
    <mergeCell ref="B34:C35"/>
    <mergeCell ref="D34:I35"/>
    <mergeCell ref="J34:K35"/>
    <mergeCell ref="L34:M35"/>
    <mergeCell ref="B36:C37"/>
    <mergeCell ref="D36:K37"/>
    <mergeCell ref="L36:M37"/>
    <mergeCell ref="B32:C33"/>
    <mergeCell ref="D32:I33"/>
    <mergeCell ref="J32:K33"/>
    <mergeCell ref="L32:M33"/>
    <mergeCell ref="B27:C28"/>
    <mergeCell ref="D27:K28"/>
    <mergeCell ref="L27:M28"/>
    <mergeCell ref="B39:K40"/>
    <mergeCell ref="L39:M40"/>
    <mergeCell ref="B23:C24"/>
    <mergeCell ref="D23:I24"/>
    <mergeCell ref="J23:K24"/>
    <mergeCell ref="L23:M24"/>
    <mergeCell ref="B25:C26"/>
    <mergeCell ref="D25:I26"/>
    <mergeCell ref="J25:K26"/>
    <mergeCell ref="L25:M26"/>
    <mergeCell ref="B30:K31"/>
    <mergeCell ref="L30:M31"/>
    <mergeCell ref="B19:C20"/>
    <mergeCell ref="D19:I20"/>
    <mergeCell ref="J19:K20"/>
    <mergeCell ref="L19:M20"/>
    <mergeCell ref="B21:C22"/>
    <mergeCell ref="D21:I22"/>
    <mergeCell ref="J21:K22"/>
    <mergeCell ref="L21:M22"/>
    <mergeCell ref="B15:C16"/>
    <mergeCell ref="D15:I16"/>
    <mergeCell ref="J15:K16"/>
    <mergeCell ref="L15:M16"/>
    <mergeCell ref="B17:C18"/>
    <mergeCell ref="D17:I18"/>
    <mergeCell ref="J17:K18"/>
    <mergeCell ref="L17:M18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95D2-1B8B-46E3-90B4-08378D46F65A}">
  <dimension ref="B2:M92"/>
  <sheetViews>
    <sheetView topLeftCell="A36" workbookViewId="0">
      <selection activeCell="L51" sqref="L51:M52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10</v>
      </c>
      <c r="E3" s="30" t="s">
        <v>1</v>
      </c>
      <c r="F3" s="31"/>
      <c r="G3" s="85">
        <v>3</v>
      </c>
      <c r="H3" s="36" t="s">
        <v>2</v>
      </c>
      <c r="I3" s="20">
        <v>45354</v>
      </c>
      <c r="J3" s="20"/>
      <c r="K3" s="18" t="s">
        <v>3</v>
      </c>
      <c r="L3" s="20">
        <v>45358</v>
      </c>
      <c r="M3" s="21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SUM(L29,L38,L57,L72,L91)</f>
        <v>0.90625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ht="15" customHeight="1" x14ac:dyDescent="0.25">
      <c r="B17" s="38" t="s">
        <v>64</v>
      </c>
      <c r="C17" s="39"/>
      <c r="D17" s="42" t="s">
        <v>65</v>
      </c>
      <c r="E17" s="43"/>
      <c r="F17" s="43"/>
      <c r="G17" s="43"/>
      <c r="H17" s="43"/>
      <c r="I17" s="39"/>
      <c r="J17" s="42"/>
      <c r="K17" s="39"/>
      <c r="L17" s="46">
        <v>3.472222222222222E-3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ht="15" customHeight="1" x14ac:dyDescent="0.25">
      <c r="B19" s="38" t="s">
        <v>55</v>
      </c>
      <c r="C19" s="39"/>
      <c r="D19" s="42" t="s">
        <v>100</v>
      </c>
      <c r="E19" s="43"/>
      <c r="F19" s="43"/>
      <c r="G19" s="43"/>
      <c r="H19" s="43"/>
      <c r="I19" s="39"/>
      <c r="J19" s="42"/>
      <c r="K19" s="39"/>
      <c r="L19" s="46">
        <v>5.9027777777777783E-2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ht="15" customHeight="1" x14ac:dyDescent="0.25">
      <c r="B21" s="38" t="s">
        <v>55</v>
      </c>
      <c r="C21" s="39"/>
      <c r="D21" s="42" t="s">
        <v>114</v>
      </c>
      <c r="E21" s="43"/>
      <c r="F21" s="43"/>
      <c r="G21" s="43"/>
      <c r="H21" s="43"/>
      <c r="I21" s="39"/>
      <c r="J21" s="42"/>
      <c r="K21" s="39"/>
      <c r="L21" s="46">
        <v>4.8611111111111112E-2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ht="15" customHeight="1" x14ac:dyDescent="0.25">
      <c r="B23" s="38" t="s">
        <v>55</v>
      </c>
      <c r="C23" s="39"/>
      <c r="D23" s="42" t="s">
        <v>115</v>
      </c>
      <c r="E23" s="43"/>
      <c r="F23" s="43"/>
      <c r="G23" s="43"/>
      <c r="H23" s="43"/>
      <c r="I23" s="39"/>
      <c r="J23" s="42"/>
      <c r="K23" s="39"/>
      <c r="L23" s="46">
        <v>6.5972222222222224E-2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ht="15" customHeight="1" x14ac:dyDescent="0.25">
      <c r="B25" s="38" t="s">
        <v>53</v>
      </c>
      <c r="C25" s="39"/>
      <c r="D25" s="42" t="s">
        <v>116</v>
      </c>
      <c r="E25" s="43"/>
      <c r="F25" s="43"/>
      <c r="G25" s="43"/>
      <c r="H25" s="43"/>
      <c r="I25" s="39"/>
      <c r="J25" s="42"/>
      <c r="K25" s="39"/>
      <c r="L25" s="46">
        <v>2.0833333333333332E-2</v>
      </c>
      <c r="M25" s="47"/>
    </row>
    <row r="26" spans="2:13" ht="15.75" thickBot="1" x14ac:dyDescent="0.3">
      <c r="B26" s="40"/>
      <c r="C26" s="41"/>
      <c r="D26" s="44"/>
      <c r="E26" s="45"/>
      <c r="F26" s="45"/>
      <c r="G26" s="45"/>
      <c r="H26" s="45"/>
      <c r="I26" s="41"/>
      <c r="J26" s="44"/>
      <c r="K26" s="41"/>
      <c r="L26" s="48"/>
      <c r="M26" s="49"/>
    </row>
    <row r="27" spans="2:13" ht="15" customHeight="1" x14ac:dyDescent="0.25">
      <c r="B27" s="38" t="s">
        <v>53</v>
      </c>
      <c r="C27" s="39"/>
      <c r="D27" s="42" t="s">
        <v>117</v>
      </c>
      <c r="E27" s="43"/>
      <c r="F27" s="43"/>
      <c r="G27" s="43"/>
      <c r="H27" s="43"/>
      <c r="I27" s="39"/>
      <c r="J27" s="42"/>
      <c r="K27" s="39"/>
      <c r="L27" s="46">
        <v>2.0833333333333332E-2</v>
      </c>
      <c r="M27" s="47"/>
    </row>
    <row r="28" spans="2:13" ht="15.75" thickBot="1" x14ac:dyDescent="0.3">
      <c r="B28" s="40"/>
      <c r="C28" s="41"/>
      <c r="D28" s="44"/>
      <c r="E28" s="45"/>
      <c r="F28" s="45"/>
      <c r="G28" s="45"/>
      <c r="H28" s="45"/>
      <c r="I28" s="41"/>
      <c r="J28" s="44"/>
      <c r="K28" s="41"/>
      <c r="L28" s="48"/>
      <c r="M28" s="49"/>
    </row>
    <row r="29" spans="2:13" x14ac:dyDescent="0.25">
      <c r="B29" s="66" t="s">
        <v>8</v>
      </c>
      <c r="C29" s="67"/>
      <c r="D29" s="67"/>
      <c r="E29" s="67"/>
      <c r="F29" s="67"/>
      <c r="G29" s="67"/>
      <c r="H29" s="67"/>
      <c r="I29" s="67"/>
      <c r="J29" s="67"/>
      <c r="K29" s="67"/>
      <c r="L29" s="76">
        <f>SUM(L17:M28)</f>
        <v>0.21875</v>
      </c>
      <c r="M29" s="77"/>
    </row>
    <row r="30" spans="2:13" ht="15.75" thickBot="1" x14ac:dyDescent="0.3"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8"/>
      <c r="M30" s="79"/>
    </row>
    <row r="31" spans="2:13" ht="15.75" thickBot="1" x14ac:dyDescent="0.3"/>
    <row r="32" spans="2:13" x14ac:dyDescent="0.25">
      <c r="B32" s="14" t="s">
        <v>11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60"/>
    </row>
    <row r="33" spans="2:13" ht="15.75" thickBot="1" x14ac:dyDescent="0.3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61"/>
    </row>
    <row r="34" spans="2:13" ht="15" customHeight="1" x14ac:dyDescent="0.25">
      <c r="B34" s="8" t="s">
        <v>5</v>
      </c>
      <c r="C34" s="9"/>
      <c r="D34" s="8" t="s">
        <v>6</v>
      </c>
      <c r="E34" s="12"/>
      <c r="F34" s="12"/>
      <c r="G34" s="12"/>
      <c r="H34" s="12"/>
      <c r="I34" s="9"/>
      <c r="J34" s="8" t="s">
        <v>7</v>
      </c>
      <c r="K34" s="9"/>
      <c r="L34" s="8" t="s">
        <v>10</v>
      </c>
      <c r="M34" s="9"/>
    </row>
    <row r="35" spans="2:13" ht="15.75" thickBot="1" x14ac:dyDescent="0.3">
      <c r="B35" s="10"/>
      <c r="C35" s="11"/>
      <c r="D35" s="10"/>
      <c r="E35" s="13"/>
      <c r="F35" s="13"/>
      <c r="G35" s="13"/>
      <c r="H35" s="13"/>
      <c r="I35" s="11"/>
      <c r="J35" s="10"/>
      <c r="K35" s="11"/>
      <c r="L35" s="10"/>
      <c r="M35" s="11"/>
    </row>
    <row r="36" spans="2:13" x14ac:dyDescent="0.25">
      <c r="B36" s="8" t="s">
        <v>15</v>
      </c>
      <c r="C36" s="12"/>
      <c r="D36" s="12"/>
      <c r="E36" s="12"/>
      <c r="F36" s="12"/>
      <c r="G36" s="12"/>
      <c r="H36" s="12"/>
      <c r="I36" s="12"/>
      <c r="J36" s="12"/>
      <c r="K36" s="12"/>
      <c r="L36" s="70">
        <v>0</v>
      </c>
      <c r="M36" s="47"/>
    </row>
    <row r="37" spans="2:13" ht="15.75" thickBot="1" x14ac:dyDescent="0.3">
      <c r="B37" s="10"/>
      <c r="C37" s="13"/>
      <c r="D37" s="13"/>
      <c r="E37" s="13"/>
      <c r="F37" s="13"/>
      <c r="G37" s="13"/>
      <c r="H37" s="13"/>
      <c r="I37" s="13"/>
      <c r="J37" s="13"/>
      <c r="K37" s="13"/>
      <c r="L37" s="71"/>
      <c r="M37" s="49"/>
    </row>
    <row r="38" spans="2:13" x14ac:dyDescent="0.25">
      <c r="B38" s="66" t="s">
        <v>8</v>
      </c>
      <c r="C38" s="67"/>
      <c r="D38" s="67"/>
      <c r="E38" s="67"/>
      <c r="F38" s="67"/>
      <c r="G38" s="67"/>
      <c r="H38" s="67"/>
      <c r="I38" s="67"/>
      <c r="J38" s="67"/>
      <c r="K38" s="67"/>
      <c r="L38" s="76">
        <f>SUM(L37:M37)</f>
        <v>0</v>
      </c>
      <c r="M38" s="77"/>
    </row>
    <row r="39" spans="2:13" ht="15.75" thickBot="1" x14ac:dyDescent="0.3">
      <c r="B39" s="68"/>
      <c r="C39" s="69"/>
      <c r="D39" s="69"/>
      <c r="E39" s="69"/>
      <c r="F39" s="69"/>
      <c r="G39" s="69"/>
      <c r="H39" s="69"/>
      <c r="I39" s="69"/>
      <c r="J39" s="69"/>
      <c r="K39" s="69"/>
      <c r="L39" s="78"/>
      <c r="M39" s="79"/>
    </row>
    <row r="40" spans="2:13" ht="15.75" thickBot="1" x14ac:dyDescent="0.3"/>
    <row r="41" spans="2:13" x14ac:dyDescent="0.25">
      <c r="B41" s="14" t="s">
        <v>12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60"/>
    </row>
    <row r="42" spans="2:13" ht="15.75" thickBot="1" x14ac:dyDescent="0.3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61"/>
    </row>
    <row r="43" spans="2:13" ht="15" customHeight="1" x14ac:dyDescent="0.25">
      <c r="B43" s="8" t="s">
        <v>5</v>
      </c>
      <c r="C43" s="9"/>
      <c r="D43" s="8" t="s">
        <v>6</v>
      </c>
      <c r="E43" s="12"/>
      <c r="F43" s="12"/>
      <c r="G43" s="12"/>
      <c r="H43" s="12"/>
      <c r="I43" s="9"/>
      <c r="J43" s="8" t="s">
        <v>7</v>
      </c>
      <c r="K43" s="9"/>
      <c r="L43" s="8" t="s">
        <v>10</v>
      </c>
      <c r="M43" s="9"/>
    </row>
    <row r="44" spans="2:13" ht="15.75" thickBot="1" x14ac:dyDescent="0.3">
      <c r="B44" s="10"/>
      <c r="C44" s="11"/>
      <c r="D44" s="10"/>
      <c r="E44" s="13"/>
      <c r="F44" s="13"/>
      <c r="G44" s="13"/>
      <c r="H44" s="13"/>
      <c r="I44" s="11"/>
      <c r="J44" s="10"/>
      <c r="K44" s="11"/>
      <c r="L44" s="10"/>
      <c r="M44" s="11"/>
    </row>
    <row r="45" spans="2:13" ht="15" customHeight="1" x14ac:dyDescent="0.25">
      <c r="B45" s="38" t="s">
        <v>64</v>
      </c>
      <c r="C45" s="39"/>
      <c r="D45" s="42" t="s">
        <v>65</v>
      </c>
      <c r="E45" s="43"/>
      <c r="F45" s="43"/>
      <c r="G45" s="43"/>
      <c r="H45" s="43"/>
      <c r="I45" s="39"/>
      <c r="J45" s="42"/>
      <c r="K45" s="39"/>
      <c r="L45" s="46">
        <v>6.9444444444444441E-3</v>
      </c>
      <c r="M45" s="47"/>
    </row>
    <row r="46" spans="2:13" ht="15.75" thickBot="1" x14ac:dyDescent="0.3">
      <c r="B46" s="40"/>
      <c r="C46" s="41"/>
      <c r="D46" s="44"/>
      <c r="E46" s="45"/>
      <c r="F46" s="45"/>
      <c r="G46" s="45"/>
      <c r="H46" s="45"/>
      <c r="I46" s="41"/>
      <c r="J46" s="44"/>
      <c r="K46" s="41"/>
      <c r="L46" s="48"/>
      <c r="M46" s="49"/>
    </row>
    <row r="47" spans="2:13" ht="15" customHeight="1" x14ac:dyDescent="0.25">
      <c r="B47" s="38" t="s">
        <v>55</v>
      </c>
      <c r="C47" s="39"/>
      <c r="D47" s="42" t="s">
        <v>118</v>
      </c>
      <c r="E47" s="43"/>
      <c r="F47" s="43"/>
      <c r="G47" s="43"/>
      <c r="H47" s="43"/>
      <c r="I47" s="39"/>
      <c r="J47" s="42"/>
      <c r="K47" s="39"/>
      <c r="L47" s="46">
        <v>7.2916666666666671E-2</v>
      </c>
      <c r="M47" s="47"/>
    </row>
    <row r="48" spans="2:13" ht="15.75" thickBot="1" x14ac:dyDescent="0.3">
      <c r="B48" s="40"/>
      <c r="C48" s="41"/>
      <c r="D48" s="44"/>
      <c r="E48" s="45"/>
      <c r="F48" s="45"/>
      <c r="G48" s="45"/>
      <c r="H48" s="45"/>
      <c r="I48" s="41"/>
      <c r="J48" s="44"/>
      <c r="K48" s="41"/>
      <c r="L48" s="48"/>
      <c r="M48" s="49"/>
    </row>
    <row r="49" spans="2:13" ht="15" customHeight="1" x14ac:dyDescent="0.25">
      <c r="B49" s="38" t="s">
        <v>55</v>
      </c>
      <c r="C49" s="39"/>
      <c r="D49" s="42" t="s">
        <v>119</v>
      </c>
      <c r="E49" s="43"/>
      <c r="F49" s="43"/>
      <c r="G49" s="43"/>
      <c r="H49" s="43"/>
      <c r="I49" s="39"/>
      <c r="J49" s="42"/>
      <c r="K49" s="39"/>
      <c r="L49" s="46">
        <v>7.9861111111111105E-2</v>
      </c>
      <c r="M49" s="47"/>
    </row>
    <row r="50" spans="2:13" ht="15.75" thickBot="1" x14ac:dyDescent="0.3">
      <c r="B50" s="40"/>
      <c r="C50" s="41"/>
      <c r="D50" s="44"/>
      <c r="E50" s="45"/>
      <c r="F50" s="45"/>
      <c r="G50" s="45"/>
      <c r="H50" s="45"/>
      <c r="I50" s="41"/>
      <c r="J50" s="44"/>
      <c r="K50" s="41"/>
      <c r="L50" s="48"/>
      <c r="M50" s="49"/>
    </row>
    <row r="51" spans="2:13" ht="15" customHeight="1" x14ac:dyDescent="0.25">
      <c r="B51" s="38" t="s">
        <v>55</v>
      </c>
      <c r="C51" s="39"/>
      <c r="D51" s="42" t="s">
        <v>122</v>
      </c>
      <c r="E51" s="43"/>
      <c r="F51" s="43"/>
      <c r="G51" s="43"/>
      <c r="H51" s="43"/>
      <c r="I51" s="39"/>
      <c r="J51" s="42"/>
      <c r="K51" s="39"/>
      <c r="L51" s="46">
        <v>7.9861111111111105E-2</v>
      </c>
      <c r="M51" s="47"/>
    </row>
    <row r="52" spans="2:13" ht="15.75" thickBot="1" x14ac:dyDescent="0.3">
      <c r="B52" s="40"/>
      <c r="C52" s="41"/>
      <c r="D52" s="44"/>
      <c r="E52" s="45"/>
      <c r="F52" s="45"/>
      <c r="G52" s="45"/>
      <c r="H52" s="45"/>
      <c r="I52" s="41"/>
      <c r="J52" s="44"/>
      <c r="K52" s="41"/>
      <c r="L52" s="48"/>
      <c r="M52" s="49"/>
    </row>
    <row r="53" spans="2:13" ht="15" customHeight="1" x14ac:dyDescent="0.25">
      <c r="B53" s="38" t="s">
        <v>53</v>
      </c>
      <c r="C53" s="39"/>
      <c r="D53" s="42" t="s">
        <v>120</v>
      </c>
      <c r="E53" s="43"/>
      <c r="F53" s="43"/>
      <c r="G53" s="43"/>
      <c r="H53" s="43"/>
      <c r="I53" s="39"/>
      <c r="J53" s="42"/>
      <c r="K53" s="39"/>
      <c r="L53" s="46">
        <v>2.0833333333333332E-2</v>
      </c>
      <c r="M53" s="47"/>
    </row>
    <row r="54" spans="2:13" ht="15.75" thickBot="1" x14ac:dyDescent="0.3">
      <c r="B54" s="40"/>
      <c r="C54" s="41"/>
      <c r="D54" s="44"/>
      <c r="E54" s="45"/>
      <c r="F54" s="45"/>
      <c r="G54" s="45"/>
      <c r="H54" s="45"/>
      <c r="I54" s="41"/>
      <c r="J54" s="44"/>
      <c r="K54" s="41"/>
      <c r="L54" s="48"/>
      <c r="M54" s="49"/>
    </row>
    <row r="55" spans="2:13" ht="15" customHeight="1" x14ac:dyDescent="0.25">
      <c r="B55" s="38" t="s">
        <v>53</v>
      </c>
      <c r="C55" s="39"/>
      <c r="D55" s="42" t="s">
        <v>121</v>
      </c>
      <c r="E55" s="43"/>
      <c r="F55" s="43"/>
      <c r="G55" s="43"/>
      <c r="H55" s="43"/>
      <c r="I55" s="39"/>
      <c r="J55" s="42"/>
      <c r="K55" s="39"/>
      <c r="L55" s="46">
        <v>2.0833333333333332E-2</v>
      </c>
      <c r="M55" s="47"/>
    </row>
    <row r="56" spans="2:13" ht="15.75" thickBot="1" x14ac:dyDescent="0.3">
      <c r="B56" s="40"/>
      <c r="C56" s="41"/>
      <c r="D56" s="44"/>
      <c r="E56" s="45"/>
      <c r="F56" s="45"/>
      <c r="G56" s="45"/>
      <c r="H56" s="45"/>
      <c r="I56" s="41"/>
      <c r="J56" s="44"/>
      <c r="K56" s="41"/>
      <c r="L56" s="48"/>
      <c r="M56" s="49"/>
    </row>
    <row r="57" spans="2:13" x14ac:dyDescent="0.25">
      <c r="B57" s="66" t="s">
        <v>8</v>
      </c>
      <c r="C57" s="67"/>
      <c r="D57" s="67"/>
      <c r="E57" s="67"/>
      <c r="F57" s="67"/>
      <c r="G57" s="67"/>
      <c r="H57" s="67"/>
      <c r="I57" s="67"/>
      <c r="J57" s="67"/>
      <c r="K57" s="67"/>
      <c r="L57" s="76">
        <f>SUM(L45:M56)</f>
        <v>0.28124999999999994</v>
      </c>
      <c r="M57" s="77"/>
    </row>
    <row r="58" spans="2:13" ht="15.75" thickBot="1" x14ac:dyDescent="0.3">
      <c r="B58" s="68"/>
      <c r="C58" s="69"/>
      <c r="D58" s="69"/>
      <c r="E58" s="69"/>
      <c r="F58" s="69"/>
      <c r="G58" s="69"/>
      <c r="H58" s="69"/>
      <c r="I58" s="69"/>
      <c r="J58" s="69"/>
      <c r="K58" s="69"/>
      <c r="L58" s="78"/>
      <c r="M58" s="79"/>
    </row>
    <row r="59" spans="2:13" ht="15.75" thickBot="1" x14ac:dyDescent="0.3"/>
    <row r="60" spans="2:13" x14ac:dyDescent="0.25">
      <c r="B60" s="14" t="s">
        <v>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60"/>
    </row>
    <row r="61" spans="2:13" ht="15.75" thickBot="1" x14ac:dyDescent="0.3"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61"/>
    </row>
    <row r="62" spans="2:13" ht="15" customHeight="1" x14ac:dyDescent="0.25">
      <c r="B62" s="8" t="s">
        <v>5</v>
      </c>
      <c r="C62" s="9"/>
      <c r="D62" s="8" t="s">
        <v>6</v>
      </c>
      <c r="E62" s="12"/>
      <c r="F62" s="12"/>
      <c r="G62" s="12"/>
      <c r="H62" s="12"/>
      <c r="I62" s="9"/>
      <c r="J62" s="8" t="s">
        <v>7</v>
      </c>
      <c r="K62" s="9"/>
      <c r="L62" s="8" t="s">
        <v>10</v>
      </c>
      <c r="M62" s="9"/>
    </row>
    <row r="63" spans="2:13" ht="15.75" thickBot="1" x14ac:dyDescent="0.3">
      <c r="B63" s="10"/>
      <c r="C63" s="11"/>
      <c r="D63" s="10"/>
      <c r="E63" s="13"/>
      <c r="F63" s="13"/>
      <c r="G63" s="13"/>
      <c r="H63" s="13"/>
      <c r="I63" s="11"/>
      <c r="J63" s="10"/>
      <c r="K63" s="11"/>
      <c r="L63" s="10"/>
      <c r="M63" s="11"/>
    </row>
    <row r="64" spans="2:13" ht="15" customHeight="1" x14ac:dyDescent="0.25">
      <c r="B64" s="38" t="s">
        <v>64</v>
      </c>
      <c r="C64" s="39"/>
      <c r="D64" s="42" t="s">
        <v>65</v>
      </c>
      <c r="E64" s="43"/>
      <c r="F64" s="43"/>
      <c r="G64" s="43"/>
      <c r="H64" s="43"/>
      <c r="I64" s="39"/>
      <c r="J64" s="42"/>
      <c r="K64" s="39"/>
      <c r="L64" s="46">
        <v>3.472222222222222E-3</v>
      </c>
      <c r="M64" s="47"/>
    </row>
    <row r="65" spans="2:13" ht="15.75" thickBot="1" x14ac:dyDescent="0.3">
      <c r="B65" s="40"/>
      <c r="C65" s="41"/>
      <c r="D65" s="44"/>
      <c r="E65" s="45"/>
      <c r="F65" s="45"/>
      <c r="G65" s="45"/>
      <c r="H65" s="45"/>
      <c r="I65" s="41"/>
      <c r="J65" s="44"/>
      <c r="K65" s="41"/>
      <c r="L65" s="48"/>
      <c r="M65" s="49"/>
    </row>
    <row r="66" spans="2:13" ht="15" customHeight="1" x14ac:dyDescent="0.25">
      <c r="B66" s="38" t="s">
        <v>55</v>
      </c>
      <c r="C66" s="39"/>
      <c r="D66" s="42" t="s">
        <v>123</v>
      </c>
      <c r="E66" s="43"/>
      <c r="F66" s="43"/>
      <c r="G66" s="43"/>
      <c r="H66" s="43"/>
      <c r="I66" s="39"/>
      <c r="J66" s="42"/>
      <c r="K66" s="39"/>
      <c r="L66" s="46">
        <v>5.2083333333333336E-2</v>
      </c>
      <c r="M66" s="47"/>
    </row>
    <row r="67" spans="2:13" ht="15.75" thickBot="1" x14ac:dyDescent="0.3">
      <c r="B67" s="40"/>
      <c r="C67" s="41"/>
      <c r="D67" s="44"/>
      <c r="E67" s="45"/>
      <c r="F67" s="45"/>
      <c r="G67" s="45"/>
      <c r="H67" s="45"/>
      <c r="I67" s="41"/>
      <c r="J67" s="44"/>
      <c r="K67" s="41"/>
      <c r="L67" s="48"/>
      <c r="M67" s="49"/>
    </row>
    <row r="68" spans="2:13" ht="15" customHeight="1" x14ac:dyDescent="0.25">
      <c r="B68" s="38" t="s">
        <v>55</v>
      </c>
      <c r="C68" s="39"/>
      <c r="D68" s="42" t="s">
        <v>121</v>
      </c>
      <c r="E68" s="43"/>
      <c r="F68" s="43"/>
      <c r="G68" s="43"/>
      <c r="H68" s="43"/>
      <c r="I68" s="39"/>
      <c r="J68" s="42"/>
      <c r="K68" s="39"/>
      <c r="L68" s="46">
        <v>4.5138888888888888E-2</v>
      </c>
      <c r="M68" s="47"/>
    </row>
    <row r="69" spans="2:13" ht="15.75" thickBot="1" x14ac:dyDescent="0.3">
      <c r="B69" s="40"/>
      <c r="C69" s="41"/>
      <c r="D69" s="44"/>
      <c r="E69" s="45"/>
      <c r="F69" s="45"/>
      <c r="G69" s="45"/>
      <c r="H69" s="45"/>
      <c r="I69" s="41"/>
      <c r="J69" s="44"/>
      <c r="K69" s="41"/>
      <c r="L69" s="48"/>
      <c r="M69" s="49"/>
    </row>
    <row r="70" spans="2:13" ht="15" customHeight="1" x14ac:dyDescent="0.25">
      <c r="B70" s="38" t="s">
        <v>55</v>
      </c>
      <c r="C70" s="39"/>
      <c r="D70" s="42" t="s">
        <v>124</v>
      </c>
      <c r="E70" s="43"/>
      <c r="F70" s="43"/>
      <c r="G70" s="43"/>
      <c r="H70" s="43"/>
      <c r="I70" s="39"/>
      <c r="J70" s="42"/>
      <c r="K70" s="39"/>
      <c r="L70" s="46">
        <v>2.4305555555555556E-2</v>
      </c>
      <c r="M70" s="47"/>
    </row>
    <row r="71" spans="2:13" ht="15.75" thickBot="1" x14ac:dyDescent="0.3">
      <c r="B71" s="40"/>
      <c r="C71" s="41"/>
      <c r="D71" s="44"/>
      <c r="E71" s="45"/>
      <c r="F71" s="45"/>
      <c r="G71" s="45"/>
      <c r="H71" s="45"/>
      <c r="I71" s="41"/>
      <c r="J71" s="44"/>
      <c r="K71" s="41"/>
      <c r="L71" s="48"/>
      <c r="M71" s="49"/>
    </row>
    <row r="72" spans="2:13" x14ac:dyDescent="0.25">
      <c r="B72" s="66" t="s">
        <v>8</v>
      </c>
      <c r="C72" s="67"/>
      <c r="D72" s="67"/>
      <c r="E72" s="67"/>
      <c r="F72" s="67"/>
      <c r="G72" s="67"/>
      <c r="H72" s="67"/>
      <c r="I72" s="67"/>
      <c r="J72" s="67"/>
      <c r="K72" s="67"/>
      <c r="L72" s="76">
        <f>SUM(L64:M71)</f>
        <v>0.125</v>
      </c>
      <c r="M72" s="77"/>
    </row>
    <row r="73" spans="2:13" ht="15.75" thickBot="1" x14ac:dyDescent="0.3">
      <c r="B73" s="68"/>
      <c r="C73" s="69"/>
      <c r="D73" s="69"/>
      <c r="E73" s="69"/>
      <c r="F73" s="69"/>
      <c r="G73" s="69"/>
      <c r="H73" s="69"/>
      <c r="I73" s="69"/>
      <c r="J73" s="69"/>
      <c r="K73" s="69"/>
      <c r="L73" s="78"/>
      <c r="M73" s="79"/>
    </row>
    <row r="74" spans="2:13" ht="15.75" thickBot="1" x14ac:dyDescent="0.3"/>
    <row r="75" spans="2:13" x14ac:dyDescent="0.25">
      <c r="B75" s="14" t="s">
        <v>14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60"/>
    </row>
    <row r="76" spans="2:13" ht="15.75" thickBot="1" x14ac:dyDescent="0.3"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61"/>
    </row>
    <row r="77" spans="2:13" ht="15" customHeight="1" x14ac:dyDescent="0.25">
      <c r="B77" s="8" t="s">
        <v>5</v>
      </c>
      <c r="C77" s="9"/>
      <c r="D77" s="8" t="s">
        <v>6</v>
      </c>
      <c r="E77" s="12"/>
      <c r="F77" s="12"/>
      <c r="G77" s="12"/>
      <c r="H77" s="12"/>
      <c r="I77" s="9"/>
      <c r="J77" s="8" t="s">
        <v>7</v>
      </c>
      <c r="K77" s="9"/>
      <c r="L77" s="8" t="s">
        <v>10</v>
      </c>
      <c r="M77" s="9"/>
    </row>
    <row r="78" spans="2:13" ht="15.75" thickBot="1" x14ac:dyDescent="0.3">
      <c r="B78" s="10"/>
      <c r="C78" s="11"/>
      <c r="D78" s="10"/>
      <c r="E78" s="13"/>
      <c r="F78" s="13"/>
      <c r="G78" s="13"/>
      <c r="H78" s="13"/>
      <c r="I78" s="11"/>
      <c r="J78" s="10"/>
      <c r="K78" s="11"/>
      <c r="L78" s="10"/>
      <c r="M78" s="11"/>
    </row>
    <row r="79" spans="2:13" ht="15" customHeight="1" x14ac:dyDescent="0.25">
      <c r="B79" s="38" t="s">
        <v>64</v>
      </c>
      <c r="C79" s="39"/>
      <c r="D79" s="42" t="s">
        <v>65</v>
      </c>
      <c r="E79" s="43"/>
      <c r="F79" s="43"/>
      <c r="G79" s="43"/>
      <c r="H79" s="43"/>
      <c r="I79" s="39"/>
      <c r="J79" s="42"/>
      <c r="K79" s="39"/>
      <c r="L79" s="46">
        <v>3.472222222222222E-3</v>
      </c>
      <c r="M79" s="47"/>
    </row>
    <row r="80" spans="2:13" ht="15.75" thickBot="1" x14ac:dyDescent="0.3">
      <c r="B80" s="40"/>
      <c r="C80" s="41"/>
      <c r="D80" s="44"/>
      <c r="E80" s="45"/>
      <c r="F80" s="45"/>
      <c r="G80" s="45"/>
      <c r="H80" s="45"/>
      <c r="I80" s="41"/>
      <c r="J80" s="44"/>
      <c r="K80" s="41"/>
      <c r="L80" s="48"/>
      <c r="M80" s="49"/>
    </row>
    <row r="81" spans="2:13" ht="15" customHeight="1" x14ac:dyDescent="0.25">
      <c r="B81" s="38" t="s">
        <v>64</v>
      </c>
      <c r="C81" s="39"/>
      <c r="D81" s="42" t="s">
        <v>125</v>
      </c>
      <c r="E81" s="43"/>
      <c r="F81" s="43"/>
      <c r="G81" s="43"/>
      <c r="H81" s="43"/>
      <c r="I81" s="39"/>
      <c r="J81" s="42"/>
      <c r="K81" s="39"/>
      <c r="L81" s="46">
        <v>4.1666666666666664E-2</v>
      </c>
      <c r="M81" s="47"/>
    </row>
    <row r="82" spans="2:13" ht="15.75" thickBot="1" x14ac:dyDescent="0.3">
      <c r="B82" s="40"/>
      <c r="C82" s="41"/>
      <c r="D82" s="44"/>
      <c r="E82" s="45"/>
      <c r="F82" s="45"/>
      <c r="G82" s="45"/>
      <c r="H82" s="45"/>
      <c r="I82" s="41"/>
      <c r="J82" s="44"/>
      <c r="K82" s="41"/>
      <c r="L82" s="48"/>
      <c r="M82" s="49"/>
    </row>
    <row r="83" spans="2:13" ht="15" customHeight="1" x14ac:dyDescent="0.25">
      <c r="B83" s="38" t="s">
        <v>55</v>
      </c>
      <c r="C83" s="39"/>
      <c r="D83" s="42" t="s">
        <v>47</v>
      </c>
      <c r="E83" s="43"/>
      <c r="F83" s="43"/>
      <c r="G83" s="43"/>
      <c r="H83" s="43"/>
      <c r="I83" s="39"/>
      <c r="J83" s="42"/>
      <c r="K83" s="39"/>
      <c r="L83" s="46">
        <v>9.375E-2</v>
      </c>
      <c r="M83" s="47"/>
    </row>
    <row r="84" spans="2:13" ht="15.75" thickBot="1" x14ac:dyDescent="0.3">
      <c r="B84" s="40"/>
      <c r="C84" s="41"/>
      <c r="D84" s="44"/>
      <c r="E84" s="45"/>
      <c r="F84" s="45"/>
      <c r="G84" s="45"/>
      <c r="H84" s="45"/>
      <c r="I84" s="41"/>
      <c r="J84" s="44"/>
      <c r="K84" s="41"/>
      <c r="L84" s="48"/>
      <c r="M84" s="49"/>
    </row>
    <row r="85" spans="2:13" ht="15" customHeight="1" x14ac:dyDescent="0.25">
      <c r="B85" s="38" t="s">
        <v>55</v>
      </c>
      <c r="C85" s="39"/>
      <c r="D85" s="42" t="s">
        <v>121</v>
      </c>
      <c r="E85" s="43"/>
      <c r="F85" s="43"/>
      <c r="G85" s="43"/>
      <c r="H85" s="43"/>
      <c r="I85" s="39"/>
      <c r="J85" s="42"/>
      <c r="K85" s="39"/>
      <c r="L85" s="46">
        <v>1.7361111111111112E-2</v>
      </c>
      <c r="M85" s="47"/>
    </row>
    <row r="86" spans="2:13" ht="15.75" thickBot="1" x14ac:dyDescent="0.3">
      <c r="B86" s="40"/>
      <c r="C86" s="41"/>
      <c r="D86" s="44"/>
      <c r="E86" s="45"/>
      <c r="F86" s="45"/>
      <c r="G86" s="45"/>
      <c r="H86" s="45"/>
      <c r="I86" s="41"/>
      <c r="J86" s="44"/>
      <c r="K86" s="41"/>
      <c r="L86" s="48"/>
      <c r="M86" s="49"/>
    </row>
    <row r="87" spans="2:13" ht="15" customHeight="1" x14ac:dyDescent="0.25">
      <c r="B87" s="38" t="s">
        <v>55</v>
      </c>
      <c r="C87" s="39"/>
      <c r="D87" s="42" t="s">
        <v>127</v>
      </c>
      <c r="E87" s="43"/>
      <c r="F87" s="43"/>
      <c r="G87" s="43"/>
      <c r="H87" s="43"/>
      <c r="I87" s="39"/>
      <c r="J87" s="42"/>
      <c r="K87" s="39"/>
      <c r="L87" s="46">
        <v>4.8611111111111112E-2</v>
      </c>
      <c r="M87" s="47"/>
    </row>
    <row r="88" spans="2:13" ht="15.75" thickBot="1" x14ac:dyDescent="0.3">
      <c r="B88" s="40"/>
      <c r="C88" s="41"/>
      <c r="D88" s="44"/>
      <c r="E88" s="45"/>
      <c r="F88" s="45"/>
      <c r="G88" s="45"/>
      <c r="H88" s="45"/>
      <c r="I88" s="41"/>
      <c r="J88" s="44"/>
      <c r="K88" s="41"/>
      <c r="L88" s="48"/>
      <c r="M88" s="49"/>
    </row>
    <row r="89" spans="2:13" ht="15" customHeight="1" x14ac:dyDescent="0.25">
      <c r="B89" s="38" t="s">
        <v>101</v>
      </c>
      <c r="C89" s="39"/>
      <c r="D89" s="42" t="s">
        <v>126</v>
      </c>
      <c r="E89" s="43"/>
      <c r="F89" s="43"/>
      <c r="G89" s="43"/>
      <c r="H89" s="43"/>
      <c r="I89" s="39"/>
      <c r="J89" s="42"/>
      <c r="K89" s="39"/>
      <c r="L89" s="46">
        <v>7.6388888888888895E-2</v>
      </c>
      <c r="M89" s="47"/>
    </row>
    <row r="90" spans="2:13" ht="15.75" thickBot="1" x14ac:dyDescent="0.3">
      <c r="B90" s="40"/>
      <c r="C90" s="41"/>
      <c r="D90" s="44"/>
      <c r="E90" s="45"/>
      <c r="F90" s="45"/>
      <c r="G90" s="45"/>
      <c r="H90" s="45"/>
      <c r="I90" s="41"/>
      <c r="J90" s="44"/>
      <c r="K90" s="41"/>
      <c r="L90" s="48"/>
      <c r="M90" s="49"/>
    </row>
    <row r="91" spans="2:13" x14ac:dyDescent="0.25">
      <c r="B91" s="66" t="s">
        <v>8</v>
      </c>
      <c r="C91" s="67"/>
      <c r="D91" s="67"/>
      <c r="E91" s="67"/>
      <c r="F91" s="67"/>
      <c r="G91" s="67"/>
      <c r="H91" s="67"/>
      <c r="I91" s="67"/>
      <c r="J91" s="67"/>
      <c r="K91" s="67"/>
      <c r="L91" s="76">
        <f>SUM(L79:M90)</f>
        <v>0.28125</v>
      </c>
      <c r="M91" s="77"/>
    </row>
    <row r="92" spans="2:13" ht="15.75" thickBot="1" x14ac:dyDescent="0.3">
      <c r="B92" s="68"/>
      <c r="C92" s="69"/>
      <c r="D92" s="69"/>
      <c r="E92" s="69"/>
      <c r="F92" s="69"/>
      <c r="G92" s="69"/>
      <c r="H92" s="69"/>
      <c r="I92" s="69"/>
      <c r="J92" s="69"/>
      <c r="K92" s="69"/>
      <c r="L92" s="78"/>
      <c r="M92" s="79"/>
    </row>
  </sheetData>
  <mergeCells count="155">
    <mergeCell ref="B91:C92"/>
    <mergeCell ref="D91:K92"/>
    <mergeCell ref="L91:M92"/>
    <mergeCell ref="J87:K88"/>
    <mergeCell ref="L87:M88"/>
    <mergeCell ref="B89:C90"/>
    <mergeCell ref="D89:I90"/>
    <mergeCell ref="J89:K90"/>
    <mergeCell ref="L89:M90"/>
    <mergeCell ref="B85:C86"/>
    <mergeCell ref="D85:I86"/>
    <mergeCell ref="J83:K84"/>
    <mergeCell ref="L83:M84"/>
    <mergeCell ref="B87:C88"/>
    <mergeCell ref="D87:I88"/>
    <mergeCell ref="J85:K86"/>
    <mergeCell ref="L85:M86"/>
    <mergeCell ref="B79:C80"/>
    <mergeCell ref="D79:I80"/>
    <mergeCell ref="J79:K80"/>
    <mergeCell ref="L79:M80"/>
    <mergeCell ref="B83:C84"/>
    <mergeCell ref="D83:I84"/>
    <mergeCell ref="J81:K82"/>
    <mergeCell ref="L81:M82"/>
    <mergeCell ref="B81:C82"/>
    <mergeCell ref="D81:I82"/>
    <mergeCell ref="B72:C73"/>
    <mergeCell ref="D72:K73"/>
    <mergeCell ref="L72:M73"/>
    <mergeCell ref="B75:K76"/>
    <mergeCell ref="L75:M76"/>
    <mergeCell ref="B77:C78"/>
    <mergeCell ref="D77:I78"/>
    <mergeCell ref="J77:K78"/>
    <mergeCell ref="L77:M78"/>
    <mergeCell ref="B70:C71"/>
    <mergeCell ref="D70:I71"/>
    <mergeCell ref="J70:K71"/>
    <mergeCell ref="L70:M71"/>
    <mergeCell ref="B64:C65"/>
    <mergeCell ref="D64:I65"/>
    <mergeCell ref="J64:K65"/>
    <mergeCell ref="L64:M65"/>
    <mergeCell ref="B66:C67"/>
    <mergeCell ref="D66:I67"/>
    <mergeCell ref="J66:K67"/>
    <mergeCell ref="L66:M67"/>
    <mergeCell ref="B60:K61"/>
    <mergeCell ref="L60:M61"/>
    <mergeCell ref="B62:C63"/>
    <mergeCell ref="D62:I63"/>
    <mergeCell ref="J62:K63"/>
    <mergeCell ref="L62:M63"/>
    <mergeCell ref="B68:C69"/>
    <mergeCell ref="D68:I69"/>
    <mergeCell ref="J68:K69"/>
    <mergeCell ref="L68:M69"/>
    <mergeCell ref="B53:C54"/>
    <mergeCell ref="D53:I54"/>
    <mergeCell ref="J53:K54"/>
    <mergeCell ref="L53:M54"/>
    <mergeCell ref="B55:C56"/>
    <mergeCell ref="D55:I56"/>
    <mergeCell ref="J55:K56"/>
    <mergeCell ref="L55:M56"/>
    <mergeCell ref="B57:C58"/>
    <mergeCell ref="D57:K58"/>
    <mergeCell ref="L57:M58"/>
    <mergeCell ref="B49:C50"/>
    <mergeCell ref="D49:I50"/>
    <mergeCell ref="J49:K50"/>
    <mergeCell ref="L49:M50"/>
    <mergeCell ref="B51:C52"/>
    <mergeCell ref="D51:I52"/>
    <mergeCell ref="J51:K52"/>
    <mergeCell ref="L51:M52"/>
    <mergeCell ref="B45:C46"/>
    <mergeCell ref="D45:I46"/>
    <mergeCell ref="J45:K46"/>
    <mergeCell ref="L45:M46"/>
    <mergeCell ref="B47:C48"/>
    <mergeCell ref="D47:I48"/>
    <mergeCell ref="J47:K48"/>
    <mergeCell ref="L47:M48"/>
    <mergeCell ref="B41:K42"/>
    <mergeCell ref="L41:M42"/>
    <mergeCell ref="B43:C44"/>
    <mergeCell ref="D43:I44"/>
    <mergeCell ref="J43:K44"/>
    <mergeCell ref="L43:M44"/>
    <mergeCell ref="B36:C37"/>
    <mergeCell ref="D36:I37"/>
    <mergeCell ref="J36:K37"/>
    <mergeCell ref="L36:M37"/>
    <mergeCell ref="B38:C39"/>
    <mergeCell ref="D38:K39"/>
    <mergeCell ref="L38:M39"/>
    <mergeCell ref="B32:K33"/>
    <mergeCell ref="L32:M33"/>
    <mergeCell ref="B34:C35"/>
    <mergeCell ref="D34:I35"/>
    <mergeCell ref="J34:K35"/>
    <mergeCell ref="L34:M35"/>
    <mergeCell ref="B29:C30"/>
    <mergeCell ref="D29:K30"/>
    <mergeCell ref="L29:M30"/>
    <mergeCell ref="B27:C28"/>
    <mergeCell ref="D27:I28"/>
    <mergeCell ref="J27:K28"/>
    <mergeCell ref="L27:M28"/>
    <mergeCell ref="B23:C24"/>
    <mergeCell ref="D23:I24"/>
    <mergeCell ref="J23:K24"/>
    <mergeCell ref="L23:M24"/>
    <mergeCell ref="B25:C26"/>
    <mergeCell ref="D25:I26"/>
    <mergeCell ref="J25:K26"/>
    <mergeCell ref="L25:M26"/>
    <mergeCell ref="B19:C20"/>
    <mergeCell ref="D19:I20"/>
    <mergeCell ref="J19:K20"/>
    <mergeCell ref="L19:M20"/>
    <mergeCell ref="B21:C22"/>
    <mergeCell ref="D21:I22"/>
    <mergeCell ref="J21:K22"/>
    <mergeCell ref="L21:M22"/>
    <mergeCell ref="B15:C16"/>
    <mergeCell ref="D15:I16"/>
    <mergeCell ref="J15:K16"/>
    <mergeCell ref="L15:M16"/>
    <mergeCell ref="B17:C18"/>
    <mergeCell ref="D17:I18"/>
    <mergeCell ref="J17:K18"/>
    <mergeCell ref="L17:M18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B073-5394-4F23-9BD2-8AF0BEAA7F84}">
  <dimension ref="B2:M108"/>
  <sheetViews>
    <sheetView tabSelected="1" topLeftCell="A29" workbookViewId="0">
      <selection activeCell="P46" sqref="P46"/>
    </sheetView>
  </sheetViews>
  <sheetFormatPr baseColWidth="10" defaultRowHeight="15" x14ac:dyDescent="0.25"/>
  <cols>
    <col min="1" max="1" width="3.7109375" style="1" customWidth="1"/>
    <col min="2" max="9" width="11.42578125" style="1"/>
    <col min="10" max="10" width="7.140625" style="1" customWidth="1"/>
    <col min="11" max="11" width="11.42578125" style="1"/>
    <col min="12" max="12" width="10.85546875" style="1" customWidth="1"/>
    <col min="13" max="13" width="2.85546875" style="1" customWidth="1"/>
    <col min="14" max="16384" width="11.42578125" style="1"/>
  </cols>
  <sheetData>
    <row r="2" spans="2:13" ht="15.75" thickBot="1" x14ac:dyDescent="0.3"/>
    <row r="3" spans="2:13" x14ac:dyDescent="0.25">
      <c r="B3" s="24" t="s">
        <v>0</v>
      </c>
      <c r="C3" s="25"/>
      <c r="D3" s="28">
        <v>11</v>
      </c>
      <c r="E3" s="30" t="s">
        <v>1</v>
      </c>
      <c r="F3" s="31"/>
      <c r="G3" s="85">
        <v>4</v>
      </c>
      <c r="H3" s="36" t="s">
        <v>2</v>
      </c>
      <c r="I3" s="20">
        <v>45361</v>
      </c>
      <c r="J3" s="20"/>
      <c r="K3" s="18" t="s">
        <v>3</v>
      </c>
      <c r="L3" s="20">
        <v>45365</v>
      </c>
      <c r="M3" s="21"/>
    </row>
    <row r="4" spans="2:13" ht="15.75" thickBot="1" x14ac:dyDescent="0.3">
      <c r="B4" s="26"/>
      <c r="C4" s="27"/>
      <c r="D4" s="29"/>
      <c r="E4" s="32"/>
      <c r="F4" s="33"/>
      <c r="G4" s="86"/>
      <c r="H4" s="37"/>
      <c r="I4" s="22"/>
      <c r="J4" s="22"/>
      <c r="K4" s="19"/>
      <c r="L4" s="22"/>
      <c r="M4" s="23"/>
    </row>
    <row r="5" spans="2:13" ht="15.75" thickBot="1" x14ac:dyDescent="0.3"/>
    <row r="6" spans="2:13" x14ac:dyDescent="0.25"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6"/>
    </row>
    <row r="7" spans="2:13" ht="15.75" thickBo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7"/>
    </row>
    <row r="8" spans="2:13" ht="15" customHeight="1" x14ac:dyDescent="0.25">
      <c r="B8" s="8" t="s">
        <v>19</v>
      </c>
      <c r="C8" s="9"/>
      <c r="D8" s="8" t="s">
        <v>16</v>
      </c>
      <c r="E8" s="12"/>
      <c r="F8" s="12"/>
      <c r="G8" s="12"/>
      <c r="H8" s="12"/>
      <c r="I8" s="9"/>
      <c r="J8" s="8" t="s">
        <v>18</v>
      </c>
      <c r="K8" s="9"/>
      <c r="L8" s="8" t="s">
        <v>17</v>
      </c>
      <c r="M8" s="9"/>
    </row>
    <row r="9" spans="2:13" ht="15.75" thickBot="1" x14ac:dyDescent="0.3">
      <c r="B9" s="10"/>
      <c r="C9" s="11"/>
      <c r="D9" s="10"/>
      <c r="E9" s="13"/>
      <c r="F9" s="13"/>
      <c r="G9" s="13"/>
      <c r="H9" s="13"/>
      <c r="I9" s="11"/>
      <c r="J9" s="10"/>
      <c r="K9" s="11"/>
      <c r="L9" s="10"/>
      <c r="M9" s="11"/>
    </row>
    <row r="10" spans="2:13" x14ac:dyDescent="0.25">
      <c r="B10" s="50">
        <f>SUM(L25,L34,L45,L76,L107)</f>
        <v>0.5</v>
      </c>
      <c r="C10" s="47"/>
      <c r="D10" s="52">
        <v>0.90625</v>
      </c>
      <c r="E10" s="53"/>
      <c r="F10" s="53"/>
      <c r="G10" s="53"/>
      <c r="H10" s="53"/>
      <c r="I10" s="54"/>
      <c r="J10" s="58">
        <f>D10-B10</f>
        <v>0.40625</v>
      </c>
      <c r="K10" s="54"/>
      <c r="L10" s="46">
        <f>IF(J10=0,B10-D10,0)</f>
        <v>0</v>
      </c>
      <c r="M10" s="47"/>
    </row>
    <row r="11" spans="2:13" ht="15.75" thickBot="1" x14ac:dyDescent="0.3">
      <c r="B11" s="51"/>
      <c r="C11" s="49"/>
      <c r="D11" s="55"/>
      <c r="E11" s="56"/>
      <c r="F11" s="56"/>
      <c r="G11" s="56"/>
      <c r="H11" s="56"/>
      <c r="I11" s="57"/>
      <c r="J11" s="59"/>
      <c r="K11" s="57"/>
      <c r="L11" s="48"/>
      <c r="M11" s="49"/>
    </row>
    <row r="12" spans="2:13" ht="15.75" thickBot="1" x14ac:dyDescent="0.3"/>
    <row r="13" spans="2:13" x14ac:dyDescent="0.25">
      <c r="B13" s="14" t="s">
        <v>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0"/>
    </row>
    <row r="14" spans="2:13" ht="15.75" thickBot="1" x14ac:dyDescent="0.3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61"/>
    </row>
    <row r="15" spans="2:13" ht="15" customHeight="1" x14ac:dyDescent="0.25">
      <c r="B15" s="8" t="s">
        <v>5</v>
      </c>
      <c r="C15" s="9"/>
      <c r="D15" s="8" t="s">
        <v>6</v>
      </c>
      <c r="E15" s="12"/>
      <c r="F15" s="12"/>
      <c r="G15" s="12"/>
      <c r="H15" s="12"/>
      <c r="I15" s="9"/>
      <c r="J15" s="8" t="s">
        <v>7</v>
      </c>
      <c r="K15" s="9"/>
      <c r="L15" s="8" t="s">
        <v>10</v>
      </c>
      <c r="M15" s="9"/>
    </row>
    <row r="16" spans="2:13" ht="15.75" thickBot="1" x14ac:dyDescent="0.3">
      <c r="B16" s="10"/>
      <c r="C16" s="11"/>
      <c r="D16" s="10"/>
      <c r="E16" s="13"/>
      <c r="F16" s="13"/>
      <c r="G16" s="13"/>
      <c r="H16" s="13"/>
      <c r="I16" s="11"/>
      <c r="J16" s="10"/>
      <c r="K16" s="11"/>
      <c r="L16" s="10"/>
      <c r="M16" s="11"/>
    </row>
    <row r="17" spans="2:13" x14ac:dyDescent="0.25">
      <c r="B17" s="38" t="s">
        <v>64</v>
      </c>
      <c r="C17" s="39"/>
      <c r="D17" s="42" t="s">
        <v>65</v>
      </c>
      <c r="E17" s="43"/>
      <c r="F17" s="43"/>
      <c r="G17" s="43"/>
      <c r="H17" s="43"/>
      <c r="I17" s="39"/>
      <c r="J17" s="42"/>
      <c r="K17" s="39"/>
      <c r="L17" s="46">
        <v>3.472222222222222E-3</v>
      </c>
      <c r="M17" s="47"/>
    </row>
    <row r="18" spans="2:13" ht="15.75" thickBot="1" x14ac:dyDescent="0.3">
      <c r="B18" s="40"/>
      <c r="C18" s="41"/>
      <c r="D18" s="44"/>
      <c r="E18" s="45"/>
      <c r="F18" s="45"/>
      <c r="G18" s="45"/>
      <c r="H18" s="45"/>
      <c r="I18" s="41"/>
      <c r="J18" s="44"/>
      <c r="K18" s="41"/>
      <c r="L18" s="48"/>
      <c r="M18" s="49"/>
    </row>
    <row r="19" spans="2:13" x14ac:dyDescent="0.25">
      <c r="B19" s="38" t="s">
        <v>47</v>
      </c>
      <c r="C19" s="39"/>
      <c r="D19" s="42" t="s">
        <v>128</v>
      </c>
      <c r="E19" s="43"/>
      <c r="F19" s="43"/>
      <c r="G19" s="43"/>
      <c r="H19" s="43"/>
      <c r="I19" s="39"/>
      <c r="J19" s="42"/>
      <c r="K19" s="39"/>
      <c r="L19" s="46">
        <v>1.7361111111111112E-2</v>
      </c>
      <c r="M19" s="47"/>
    </row>
    <row r="20" spans="2:13" ht="15.75" thickBot="1" x14ac:dyDescent="0.3">
      <c r="B20" s="40"/>
      <c r="C20" s="41"/>
      <c r="D20" s="44"/>
      <c r="E20" s="45"/>
      <c r="F20" s="45"/>
      <c r="G20" s="45"/>
      <c r="H20" s="45"/>
      <c r="I20" s="41"/>
      <c r="J20" s="44"/>
      <c r="K20" s="41"/>
      <c r="L20" s="48"/>
      <c r="M20" s="49"/>
    </row>
    <row r="21" spans="2:13" x14ac:dyDescent="0.25">
      <c r="B21" s="38" t="s">
        <v>47</v>
      </c>
      <c r="C21" s="39"/>
      <c r="D21" s="42" t="s">
        <v>110</v>
      </c>
      <c r="E21" s="43"/>
      <c r="F21" s="43"/>
      <c r="G21" s="43"/>
      <c r="H21" s="43"/>
      <c r="I21" s="39"/>
      <c r="J21" s="42"/>
      <c r="K21" s="39"/>
      <c r="L21" s="46">
        <v>0.13194444444444445</v>
      </c>
      <c r="M21" s="47"/>
    </row>
    <row r="22" spans="2:13" ht="15.75" thickBot="1" x14ac:dyDescent="0.3">
      <c r="B22" s="40"/>
      <c r="C22" s="41"/>
      <c r="D22" s="44"/>
      <c r="E22" s="45"/>
      <c r="F22" s="45"/>
      <c r="G22" s="45"/>
      <c r="H22" s="45"/>
      <c r="I22" s="41"/>
      <c r="J22" s="44"/>
      <c r="K22" s="41"/>
      <c r="L22" s="48"/>
      <c r="M22" s="49"/>
    </row>
    <row r="23" spans="2:13" x14ac:dyDescent="0.25">
      <c r="B23" s="38" t="s">
        <v>55</v>
      </c>
      <c r="C23" s="39"/>
      <c r="D23" s="42" t="s">
        <v>129</v>
      </c>
      <c r="E23" s="43"/>
      <c r="F23" s="43"/>
      <c r="G23" s="43"/>
      <c r="H23" s="43"/>
      <c r="I23" s="39"/>
      <c r="J23" s="42"/>
      <c r="K23" s="39"/>
      <c r="L23" s="46">
        <v>6.5972222222222224E-2</v>
      </c>
      <c r="M23" s="47"/>
    </row>
    <row r="24" spans="2:13" ht="15.75" thickBot="1" x14ac:dyDescent="0.3">
      <c r="B24" s="40"/>
      <c r="C24" s="41"/>
      <c r="D24" s="44"/>
      <c r="E24" s="45"/>
      <c r="F24" s="45"/>
      <c r="G24" s="45"/>
      <c r="H24" s="45"/>
      <c r="I24" s="41"/>
      <c r="J24" s="44"/>
      <c r="K24" s="41"/>
      <c r="L24" s="48"/>
      <c r="M24" s="49"/>
    </row>
    <row r="25" spans="2:13" x14ac:dyDescent="0.25">
      <c r="B25" s="66" t="s">
        <v>8</v>
      </c>
      <c r="C25" s="67"/>
      <c r="D25" s="67"/>
      <c r="E25" s="67"/>
      <c r="F25" s="67"/>
      <c r="G25" s="67"/>
      <c r="H25" s="67"/>
      <c r="I25" s="67"/>
      <c r="J25" s="67"/>
      <c r="K25" s="67"/>
      <c r="L25" s="76">
        <f>SUM(L17:M24)</f>
        <v>0.21875</v>
      </c>
      <c r="M25" s="77"/>
    </row>
    <row r="26" spans="2:13" ht="15.75" thickBot="1" x14ac:dyDescent="0.3"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78"/>
      <c r="M26" s="79"/>
    </row>
    <row r="27" spans="2:13" ht="15.75" thickBot="1" x14ac:dyDescent="0.3"/>
    <row r="28" spans="2:13" x14ac:dyDescent="0.25">
      <c r="B28" s="14" t="s">
        <v>11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60"/>
    </row>
    <row r="29" spans="2:13" ht="15.75" thickBot="1" x14ac:dyDescent="0.3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61"/>
    </row>
    <row r="30" spans="2:13" ht="15" customHeight="1" x14ac:dyDescent="0.25">
      <c r="B30" s="8" t="s">
        <v>5</v>
      </c>
      <c r="C30" s="9"/>
      <c r="D30" s="8" t="s">
        <v>6</v>
      </c>
      <c r="E30" s="12"/>
      <c r="F30" s="12"/>
      <c r="G30" s="12"/>
      <c r="H30" s="12"/>
      <c r="I30" s="9"/>
      <c r="J30" s="8" t="s">
        <v>7</v>
      </c>
      <c r="K30" s="9"/>
      <c r="L30" s="8" t="s">
        <v>10</v>
      </c>
      <c r="M30" s="9"/>
    </row>
    <row r="31" spans="2:13" ht="15.75" thickBot="1" x14ac:dyDescent="0.3">
      <c r="B31" s="10"/>
      <c r="C31" s="11"/>
      <c r="D31" s="10"/>
      <c r="E31" s="13"/>
      <c r="F31" s="13"/>
      <c r="G31" s="13"/>
      <c r="H31" s="13"/>
      <c r="I31" s="11"/>
      <c r="J31" s="10"/>
      <c r="K31" s="11"/>
      <c r="L31" s="10"/>
      <c r="M31" s="11"/>
    </row>
    <row r="32" spans="2:13" x14ac:dyDescent="0.25">
      <c r="B32" s="8" t="s">
        <v>15</v>
      </c>
      <c r="C32" s="12"/>
      <c r="D32" s="12"/>
      <c r="E32" s="12"/>
      <c r="F32" s="12"/>
      <c r="G32" s="12"/>
      <c r="H32" s="12"/>
      <c r="I32" s="12"/>
      <c r="J32" s="12"/>
      <c r="K32" s="12"/>
      <c r="L32" s="70">
        <v>0</v>
      </c>
      <c r="M32" s="47"/>
    </row>
    <row r="33" spans="2:13" ht="15.75" thickBot="1" x14ac:dyDescent="0.3">
      <c r="B33" s="10"/>
      <c r="C33" s="13"/>
      <c r="D33" s="13"/>
      <c r="E33" s="13"/>
      <c r="F33" s="13"/>
      <c r="G33" s="13"/>
      <c r="H33" s="13"/>
      <c r="I33" s="13"/>
      <c r="J33" s="13"/>
      <c r="K33" s="13"/>
      <c r="L33" s="71"/>
      <c r="M33" s="49"/>
    </row>
    <row r="34" spans="2:13" x14ac:dyDescent="0.25">
      <c r="B34" s="66" t="s">
        <v>8</v>
      </c>
      <c r="C34" s="67"/>
      <c r="D34" s="67"/>
      <c r="E34" s="67"/>
      <c r="F34" s="67"/>
      <c r="G34" s="67"/>
      <c r="H34" s="67"/>
      <c r="I34" s="67"/>
      <c r="J34" s="67"/>
      <c r="K34" s="67"/>
      <c r="L34" s="76">
        <f>SUM(L33:M33)</f>
        <v>0</v>
      </c>
      <c r="M34" s="77"/>
    </row>
    <row r="35" spans="2:13" ht="15.75" thickBot="1" x14ac:dyDescent="0.3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78"/>
      <c r="M35" s="79"/>
    </row>
    <row r="36" spans="2:13" ht="15.75" thickBot="1" x14ac:dyDescent="0.3"/>
    <row r="37" spans="2:13" x14ac:dyDescent="0.25">
      <c r="B37" s="14" t="s">
        <v>12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60"/>
    </row>
    <row r="38" spans="2:13" ht="15.75" thickBot="1" x14ac:dyDescent="0.3"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61"/>
    </row>
    <row r="39" spans="2:13" ht="15" customHeight="1" x14ac:dyDescent="0.25">
      <c r="B39" s="8" t="s">
        <v>5</v>
      </c>
      <c r="C39" s="9"/>
      <c r="D39" s="8" t="s">
        <v>6</v>
      </c>
      <c r="E39" s="12"/>
      <c r="F39" s="12"/>
      <c r="G39" s="12"/>
      <c r="H39" s="12"/>
      <c r="I39" s="9"/>
      <c r="J39" s="8" t="s">
        <v>7</v>
      </c>
      <c r="K39" s="9"/>
      <c r="L39" s="8" t="s">
        <v>10</v>
      </c>
      <c r="M39" s="9"/>
    </row>
    <row r="40" spans="2:13" ht="15.75" thickBot="1" x14ac:dyDescent="0.3">
      <c r="B40" s="10"/>
      <c r="C40" s="11"/>
      <c r="D40" s="10"/>
      <c r="E40" s="13"/>
      <c r="F40" s="13"/>
      <c r="G40" s="13"/>
      <c r="H40" s="13"/>
      <c r="I40" s="11"/>
      <c r="J40" s="10"/>
      <c r="K40" s="11"/>
      <c r="L40" s="10"/>
      <c r="M40" s="11"/>
    </row>
    <row r="41" spans="2:13" x14ac:dyDescent="0.25">
      <c r="B41" s="38" t="s">
        <v>64</v>
      </c>
      <c r="C41" s="39"/>
      <c r="D41" s="42" t="s">
        <v>65</v>
      </c>
      <c r="E41" s="43"/>
      <c r="F41" s="43"/>
      <c r="G41" s="43"/>
      <c r="H41" s="43"/>
      <c r="I41" s="39"/>
      <c r="J41" s="42"/>
      <c r="K41" s="39"/>
      <c r="L41" s="46">
        <v>3.472222222222222E-3</v>
      </c>
      <c r="M41" s="47"/>
    </row>
    <row r="42" spans="2:13" ht="15.75" thickBot="1" x14ac:dyDescent="0.3">
      <c r="B42" s="40"/>
      <c r="C42" s="41"/>
      <c r="D42" s="44"/>
      <c r="E42" s="45"/>
      <c r="F42" s="45"/>
      <c r="G42" s="45"/>
      <c r="H42" s="45"/>
      <c r="I42" s="41"/>
      <c r="J42" s="44"/>
      <c r="K42" s="41"/>
      <c r="L42" s="48"/>
      <c r="M42" s="49"/>
    </row>
    <row r="43" spans="2:13" ht="15" customHeight="1" x14ac:dyDescent="0.25">
      <c r="B43" s="38" t="s">
        <v>47</v>
      </c>
      <c r="C43" s="39"/>
      <c r="D43" s="42" t="s">
        <v>110</v>
      </c>
      <c r="E43" s="43"/>
      <c r="F43" s="43"/>
      <c r="G43" s="43"/>
      <c r="H43" s="43"/>
      <c r="I43" s="39"/>
      <c r="J43" s="42"/>
      <c r="K43" s="39"/>
      <c r="L43" s="46">
        <v>0.27777777777777779</v>
      </c>
      <c r="M43" s="47"/>
    </row>
    <row r="44" spans="2:13" ht="15.75" thickBot="1" x14ac:dyDescent="0.3">
      <c r="B44" s="40"/>
      <c r="C44" s="41"/>
      <c r="D44" s="44"/>
      <c r="E44" s="45"/>
      <c r="F44" s="45"/>
      <c r="G44" s="45"/>
      <c r="H44" s="45"/>
      <c r="I44" s="41"/>
      <c r="J44" s="44"/>
      <c r="K44" s="41"/>
      <c r="L44" s="48"/>
      <c r="M44" s="49"/>
    </row>
    <row r="45" spans="2:13" x14ac:dyDescent="0.25">
      <c r="B45" s="66" t="s">
        <v>8</v>
      </c>
      <c r="C45" s="67"/>
      <c r="D45" s="67"/>
      <c r="E45" s="67"/>
      <c r="F45" s="67"/>
      <c r="G45" s="67"/>
      <c r="H45" s="67"/>
      <c r="I45" s="67"/>
      <c r="J45" s="67"/>
      <c r="K45" s="67"/>
      <c r="L45" s="76">
        <f>SUM(L41:M44)</f>
        <v>0.28125</v>
      </c>
      <c r="M45" s="77"/>
    </row>
    <row r="46" spans="2:13" ht="15.75" thickBot="1" x14ac:dyDescent="0.3">
      <c r="B46" s="68"/>
      <c r="C46" s="69"/>
      <c r="D46" s="69"/>
      <c r="E46" s="69"/>
      <c r="F46" s="69"/>
      <c r="G46" s="69"/>
      <c r="H46" s="69"/>
      <c r="I46" s="69"/>
      <c r="J46" s="69"/>
      <c r="K46" s="69"/>
      <c r="L46" s="78"/>
      <c r="M46" s="79"/>
    </row>
    <row r="47" spans="2:13" ht="15.75" thickBot="1" x14ac:dyDescent="0.3"/>
    <row r="48" spans="2:13" x14ac:dyDescent="0.25">
      <c r="B48" s="14" t="s">
        <v>13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60"/>
    </row>
    <row r="49" spans="2:13" ht="15.75" thickBot="1" x14ac:dyDescent="0.3"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61"/>
    </row>
    <row r="50" spans="2:13" ht="15" customHeight="1" x14ac:dyDescent="0.25">
      <c r="B50" s="8" t="s">
        <v>5</v>
      </c>
      <c r="C50" s="9"/>
      <c r="D50" s="8" t="s">
        <v>6</v>
      </c>
      <c r="E50" s="12"/>
      <c r="F50" s="12"/>
      <c r="G50" s="12"/>
      <c r="H50" s="12"/>
      <c r="I50" s="9"/>
      <c r="J50" s="8" t="s">
        <v>7</v>
      </c>
      <c r="K50" s="9"/>
      <c r="L50" s="8" t="s">
        <v>10</v>
      </c>
      <c r="M50" s="9"/>
    </row>
    <row r="51" spans="2:13" ht="15.75" thickBot="1" x14ac:dyDescent="0.3">
      <c r="B51" s="10"/>
      <c r="C51" s="11"/>
      <c r="D51" s="10"/>
      <c r="E51" s="13"/>
      <c r="F51" s="13"/>
      <c r="G51" s="13"/>
      <c r="H51" s="13"/>
      <c r="I51" s="11"/>
      <c r="J51" s="10"/>
      <c r="K51" s="11"/>
      <c r="L51" s="10"/>
      <c r="M51" s="11"/>
    </row>
    <row r="52" spans="2:13" x14ac:dyDescent="0.25">
      <c r="B52" s="38"/>
      <c r="C52" s="39"/>
      <c r="D52" s="42"/>
      <c r="E52" s="43"/>
      <c r="F52" s="43"/>
      <c r="G52" s="43"/>
      <c r="H52" s="43"/>
      <c r="I52" s="39"/>
      <c r="J52" s="42"/>
      <c r="K52" s="39"/>
      <c r="L52" s="46">
        <v>0</v>
      </c>
      <c r="M52" s="47"/>
    </row>
    <row r="53" spans="2:13" ht="15.75" thickBot="1" x14ac:dyDescent="0.3">
      <c r="B53" s="40"/>
      <c r="C53" s="41"/>
      <c r="D53" s="44"/>
      <c r="E53" s="45"/>
      <c r="F53" s="45"/>
      <c r="G53" s="45"/>
      <c r="H53" s="45"/>
      <c r="I53" s="41"/>
      <c r="J53" s="44"/>
      <c r="K53" s="41"/>
      <c r="L53" s="48"/>
      <c r="M53" s="49"/>
    </row>
    <row r="54" spans="2:13" x14ac:dyDescent="0.25">
      <c r="B54" s="38"/>
      <c r="C54" s="39"/>
      <c r="D54" s="42"/>
      <c r="E54" s="43"/>
      <c r="F54" s="43"/>
      <c r="G54" s="43"/>
      <c r="H54" s="43"/>
      <c r="I54" s="39"/>
      <c r="J54" s="42"/>
      <c r="K54" s="39"/>
      <c r="L54" s="46">
        <v>0</v>
      </c>
      <c r="M54" s="47"/>
    </row>
    <row r="55" spans="2:13" ht="15.75" thickBot="1" x14ac:dyDescent="0.3">
      <c r="B55" s="40"/>
      <c r="C55" s="41"/>
      <c r="D55" s="44"/>
      <c r="E55" s="45"/>
      <c r="F55" s="45"/>
      <c r="G55" s="45"/>
      <c r="H55" s="45"/>
      <c r="I55" s="41"/>
      <c r="J55" s="44"/>
      <c r="K55" s="41"/>
      <c r="L55" s="48"/>
      <c r="M55" s="49"/>
    </row>
    <row r="56" spans="2:13" x14ac:dyDescent="0.25">
      <c r="B56" s="38"/>
      <c r="C56" s="39"/>
      <c r="D56" s="42"/>
      <c r="E56" s="43"/>
      <c r="F56" s="43"/>
      <c r="G56" s="43"/>
      <c r="H56" s="43"/>
      <c r="I56" s="39"/>
      <c r="J56" s="42"/>
      <c r="K56" s="39"/>
      <c r="L56" s="46">
        <v>0</v>
      </c>
      <c r="M56" s="47"/>
    </row>
    <row r="57" spans="2:13" ht="15.75" thickBot="1" x14ac:dyDescent="0.3">
      <c r="B57" s="40"/>
      <c r="C57" s="41"/>
      <c r="D57" s="44"/>
      <c r="E57" s="45"/>
      <c r="F57" s="45"/>
      <c r="G57" s="45"/>
      <c r="H57" s="45"/>
      <c r="I57" s="41"/>
      <c r="J57" s="44"/>
      <c r="K57" s="41"/>
      <c r="L57" s="48"/>
      <c r="M57" s="49"/>
    </row>
    <row r="58" spans="2:13" x14ac:dyDescent="0.25">
      <c r="B58" s="38"/>
      <c r="C58" s="39"/>
      <c r="D58" s="42"/>
      <c r="E58" s="43"/>
      <c r="F58" s="43"/>
      <c r="G58" s="43"/>
      <c r="H58" s="43"/>
      <c r="I58" s="39"/>
      <c r="J58" s="42"/>
      <c r="K58" s="39"/>
      <c r="L58" s="46">
        <v>0</v>
      </c>
      <c r="M58" s="47"/>
    </row>
    <row r="59" spans="2:13" ht="15.75" thickBot="1" x14ac:dyDescent="0.3">
      <c r="B59" s="40"/>
      <c r="C59" s="41"/>
      <c r="D59" s="44"/>
      <c r="E59" s="45"/>
      <c r="F59" s="45"/>
      <c r="G59" s="45"/>
      <c r="H59" s="45"/>
      <c r="I59" s="41"/>
      <c r="J59" s="44"/>
      <c r="K59" s="41"/>
      <c r="L59" s="48"/>
      <c r="M59" s="49"/>
    </row>
    <row r="60" spans="2:13" x14ac:dyDescent="0.25">
      <c r="B60" s="38"/>
      <c r="C60" s="39"/>
      <c r="D60" s="42"/>
      <c r="E60" s="43"/>
      <c r="F60" s="43"/>
      <c r="G60" s="43"/>
      <c r="H60" s="43"/>
      <c r="I60" s="39"/>
      <c r="J60" s="42"/>
      <c r="K60" s="39"/>
      <c r="L60" s="46">
        <v>0</v>
      </c>
      <c r="M60" s="47"/>
    </row>
    <row r="61" spans="2:13" ht="15.75" thickBot="1" x14ac:dyDescent="0.3">
      <c r="B61" s="40"/>
      <c r="C61" s="41"/>
      <c r="D61" s="44"/>
      <c r="E61" s="45"/>
      <c r="F61" s="45"/>
      <c r="G61" s="45"/>
      <c r="H61" s="45"/>
      <c r="I61" s="41"/>
      <c r="J61" s="44"/>
      <c r="K61" s="41"/>
      <c r="L61" s="48"/>
      <c r="M61" s="49"/>
    </row>
    <row r="62" spans="2:13" x14ac:dyDescent="0.25">
      <c r="B62" s="38"/>
      <c r="C62" s="39"/>
      <c r="D62" s="42"/>
      <c r="E62" s="43"/>
      <c r="F62" s="43"/>
      <c r="G62" s="43"/>
      <c r="H62" s="43"/>
      <c r="I62" s="39"/>
      <c r="J62" s="42"/>
      <c r="K62" s="39"/>
      <c r="L62" s="46">
        <v>0</v>
      </c>
      <c r="M62" s="47"/>
    </row>
    <row r="63" spans="2:13" ht="15.75" thickBot="1" x14ac:dyDescent="0.3">
      <c r="B63" s="40"/>
      <c r="C63" s="41"/>
      <c r="D63" s="44"/>
      <c r="E63" s="45"/>
      <c r="F63" s="45"/>
      <c r="G63" s="45"/>
      <c r="H63" s="45"/>
      <c r="I63" s="41"/>
      <c r="J63" s="44"/>
      <c r="K63" s="41"/>
      <c r="L63" s="48"/>
      <c r="M63" s="49"/>
    </row>
    <row r="64" spans="2:13" x14ac:dyDescent="0.25">
      <c r="B64" s="38"/>
      <c r="C64" s="39"/>
      <c r="D64" s="42"/>
      <c r="E64" s="43"/>
      <c r="F64" s="43"/>
      <c r="G64" s="43"/>
      <c r="H64" s="43"/>
      <c r="I64" s="39"/>
      <c r="J64" s="42"/>
      <c r="K64" s="39"/>
      <c r="L64" s="46">
        <v>0</v>
      </c>
      <c r="M64" s="47"/>
    </row>
    <row r="65" spans="2:13" ht="15.75" thickBot="1" x14ac:dyDescent="0.3">
      <c r="B65" s="40"/>
      <c r="C65" s="41"/>
      <c r="D65" s="44"/>
      <c r="E65" s="45"/>
      <c r="F65" s="45"/>
      <c r="G65" s="45"/>
      <c r="H65" s="45"/>
      <c r="I65" s="41"/>
      <c r="J65" s="44"/>
      <c r="K65" s="41"/>
      <c r="L65" s="48"/>
      <c r="M65" s="49"/>
    </row>
    <row r="66" spans="2:13" x14ac:dyDescent="0.25">
      <c r="B66" s="38"/>
      <c r="C66" s="39"/>
      <c r="D66" s="42"/>
      <c r="E66" s="43"/>
      <c r="F66" s="43"/>
      <c r="G66" s="43"/>
      <c r="H66" s="43"/>
      <c r="I66" s="39"/>
      <c r="J66" s="42"/>
      <c r="K66" s="39"/>
      <c r="L66" s="46">
        <v>0</v>
      </c>
      <c r="M66" s="47"/>
    </row>
    <row r="67" spans="2:13" ht="15.75" thickBot="1" x14ac:dyDescent="0.3">
      <c r="B67" s="40"/>
      <c r="C67" s="41"/>
      <c r="D67" s="44"/>
      <c r="E67" s="45"/>
      <c r="F67" s="45"/>
      <c r="G67" s="45"/>
      <c r="H67" s="45"/>
      <c r="I67" s="41"/>
      <c r="J67" s="44"/>
      <c r="K67" s="41"/>
      <c r="L67" s="48"/>
      <c r="M67" s="49"/>
    </row>
    <row r="68" spans="2:13" x14ac:dyDescent="0.25">
      <c r="B68" s="38"/>
      <c r="C68" s="39"/>
      <c r="D68" s="42"/>
      <c r="E68" s="43"/>
      <c r="F68" s="43"/>
      <c r="G68" s="43"/>
      <c r="H68" s="43"/>
      <c r="I68" s="39"/>
      <c r="J68" s="42"/>
      <c r="K68" s="39"/>
      <c r="L68" s="46">
        <v>0</v>
      </c>
      <c r="M68" s="47"/>
    </row>
    <row r="69" spans="2:13" ht="15.75" thickBot="1" x14ac:dyDescent="0.3">
      <c r="B69" s="40"/>
      <c r="C69" s="41"/>
      <c r="D69" s="44"/>
      <c r="E69" s="45"/>
      <c r="F69" s="45"/>
      <c r="G69" s="45"/>
      <c r="H69" s="45"/>
      <c r="I69" s="41"/>
      <c r="J69" s="44"/>
      <c r="K69" s="41"/>
      <c r="L69" s="48"/>
      <c r="M69" s="49"/>
    </row>
    <row r="70" spans="2:13" x14ac:dyDescent="0.25">
      <c r="B70" s="38"/>
      <c r="C70" s="39"/>
      <c r="D70" s="42"/>
      <c r="E70" s="43"/>
      <c r="F70" s="43"/>
      <c r="G70" s="43"/>
      <c r="H70" s="43"/>
      <c r="I70" s="39"/>
      <c r="J70" s="42"/>
      <c r="K70" s="39"/>
      <c r="L70" s="46">
        <v>0</v>
      </c>
      <c r="M70" s="47"/>
    </row>
    <row r="71" spans="2:13" ht="15.75" thickBot="1" x14ac:dyDescent="0.3">
      <c r="B71" s="40"/>
      <c r="C71" s="41"/>
      <c r="D71" s="44"/>
      <c r="E71" s="45"/>
      <c r="F71" s="45"/>
      <c r="G71" s="45"/>
      <c r="H71" s="45"/>
      <c r="I71" s="41"/>
      <c r="J71" s="44"/>
      <c r="K71" s="41"/>
      <c r="L71" s="48"/>
      <c r="M71" s="49"/>
    </row>
    <row r="72" spans="2:13" x14ac:dyDescent="0.25">
      <c r="B72" s="38"/>
      <c r="C72" s="39"/>
      <c r="D72" s="42"/>
      <c r="E72" s="43"/>
      <c r="F72" s="43"/>
      <c r="G72" s="43"/>
      <c r="H72" s="43"/>
      <c r="I72" s="39"/>
      <c r="J72" s="42"/>
      <c r="K72" s="39"/>
      <c r="L72" s="46">
        <v>0</v>
      </c>
      <c r="M72" s="47"/>
    </row>
    <row r="73" spans="2:13" ht="15.75" thickBot="1" x14ac:dyDescent="0.3">
      <c r="B73" s="40"/>
      <c r="C73" s="41"/>
      <c r="D73" s="44"/>
      <c r="E73" s="45"/>
      <c r="F73" s="45"/>
      <c r="G73" s="45"/>
      <c r="H73" s="45"/>
      <c r="I73" s="41"/>
      <c r="J73" s="44"/>
      <c r="K73" s="41"/>
      <c r="L73" s="48"/>
      <c r="M73" s="49"/>
    </row>
    <row r="74" spans="2:13" x14ac:dyDescent="0.25">
      <c r="B74" s="38"/>
      <c r="C74" s="39"/>
      <c r="D74" s="42"/>
      <c r="E74" s="43"/>
      <c r="F74" s="43"/>
      <c r="G74" s="43"/>
      <c r="H74" s="43"/>
      <c r="I74" s="39"/>
      <c r="J74" s="42"/>
      <c r="K74" s="39"/>
      <c r="L74" s="46">
        <v>0</v>
      </c>
      <c r="M74" s="47"/>
    </row>
    <row r="75" spans="2:13" ht="15.75" thickBot="1" x14ac:dyDescent="0.3">
      <c r="B75" s="40"/>
      <c r="C75" s="41"/>
      <c r="D75" s="44"/>
      <c r="E75" s="45"/>
      <c r="F75" s="45"/>
      <c r="G75" s="45"/>
      <c r="H75" s="45"/>
      <c r="I75" s="41"/>
      <c r="J75" s="44"/>
      <c r="K75" s="41"/>
      <c r="L75" s="48"/>
      <c r="M75" s="49"/>
    </row>
    <row r="76" spans="2:13" x14ac:dyDescent="0.25">
      <c r="B76" s="66" t="s">
        <v>8</v>
      </c>
      <c r="C76" s="67"/>
      <c r="D76" s="67"/>
      <c r="E76" s="67"/>
      <c r="F76" s="67"/>
      <c r="G76" s="67"/>
      <c r="H76" s="67"/>
      <c r="I76" s="67"/>
      <c r="J76" s="67"/>
      <c r="K76" s="67"/>
      <c r="L76" s="76">
        <f>SUM(L52:M75)</f>
        <v>0</v>
      </c>
      <c r="M76" s="77"/>
    </row>
    <row r="77" spans="2:13" ht="15.75" thickBot="1" x14ac:dyDescent="0.3">
      <c r="B77" s="68"/>
      <c r="C77" s="69"/>
      <c r="D77" s="69"/>
      <c r="E77" s="69"/>
      <c r="F77" s="69"/>
      <c r="G77" s="69"/>
      <c r="H77" s="69"/>
      <c r="I77" s="69"/>
      <c r="J77" s="69"/>
      <c r="K77" s="69"/>
      <c r="L77" s="78"/>
      <c r="M77" s="79"/>
    </row>
    <row r="78" spans="2:13" ht="15.75" thickBot="1" x14ac:dyDescent="0.3"/>
    <row r="79" spans="2:13" x14ac:dyDescent="0.25">
      <c r="B79" s="14" t="s">
        <v>14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60"/>
    </row>
    <row r="80" spans="2:13" ht="15.75" thickBot="1" x14ac:dyDescent="0.3"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61"/>
    </row>
    <row r="81" spans="2:13" ht="15" customHeight="1" x14ac:dyDescent="0.25">
      <c r="B81" s="8" t="s">
        <v>5</v>
      </c>
      <c r="C81" s="9"/>
      <c r="D81" s="8" t="s">
        <v>6</v>
      </c>
      <c r="E81" s="12"/>
      <c r="F81" s="12"/>
      <c r="G81" s="12"/>
      <c r="H81" s="12"/>
      <c r="I81" s="9"/>
      <c r="J81" s="8" t="s">
        <v>7</v>
      </c>
      <c r="K81" s="9"/>
      <c r="L81" s="8" t="s">
        <v>10</v>
      </c>
      <c r="M81" s="9"/>
    </row>
    <row r="82" spans="2:13" ht="15.75" thickBot="1" x14ac:dyDescent="0.3">
      <c r="B82" s="10"/>
      <c r="C82" s="11"/>
      <c r="D82" s="10"/>
      <c r="E82" s="13"/>
      <c r="F82" s="13"/>
      <c r="G82" s="13"/>
      <c r="H82" s="13"/>
      <c r="I82" s="11"/>
      <c r="J82" s="10"/>
      <c r="K82" s="11"/>
      <c r="L82" s="10"/>
      <c r="M82" s="11"/>
    </row>
    <row r="83" spans="2:13" x14ac:dyDescent="0.25">
      <c r="B83" s="38"/>
      <c r="C83" s="39"/>
      <c r="D83" s="42"/>
      <c r="E83" s="43"/>
      <c r="F83" s="43"/>
      <c r="G83" s="43"/>
      <c r="H83" s="43"/>
      <c r="I83" s="39"/>
      <c r="J83" s="42"/>
      <c r="K83" s="39"/>
      <c r="L83" s="46">
        <v>0</v>
      </c>
      <c r="M83" s="47"/>
    </row>
    <row r="84" spans="2:13" ht="15.75" thickBot="1" x14ac:dyDescent="0.3">
      <c r="B84" s="40"/>
      <c r="C84" s="41"/>
      <c r="D84" s="44"/>
      <c r="E84" s="45"/>
      <c r="F84" s="45"/>
      <c r="G84" s="45"/>
      <c r="H84" s="45"/>
      <c r="I84" s="41"/>
      <c r="J84" s="44"/>
      <c r="K84" s="41"/>
      <c r="L84" s="48"/>
      <c r="M84" s="49"/>
    </row>
    <row r="85" spans="2:13" x14ac:dyDescent="0.25">
      <c r="B85" s="38"/>
      <c r="C85" s="39"/>
      <c r="D85" s="42"/>
      <c r="E85" s="43"/>
      <c r="F85" s="43"/>
      <c r="G85" s="43"/>
      <c r="H85" s="43"/>
      <c r="I85" s="39"/>
      <c r="J85" s="42"/>
      <c r="K85" s="39"/>
      <c r="L85" s="46">
        <v>0</v>
      </c>
      <c r="M85" s="47"/>
    </row>
    <row r="86" spans="2:13" ht="15.75" thickBot="1" x14ac:dyDescent="0.3">
      <c r="B86" s="40"/>
      <c r="C86" s="41"/>
      <c r="D86" s="44"/>
      <c r="E86" s="45"/>
      <c r="F86" s="45"/>
      <c r="G86" s="45"/>
      <c r="H86" s="45"/>
      <c r="I86" s="41"/>
      <c r="J86" s="44"/>
      <c r="K86" s="41"/>
      <c r="L86" s="48"/>
      <c r="M86" s="49"/>
    </row>
    <row r="87" spans="2:13" x14ac:dyDescent="0.25">
      <c r="B87" s="38"/>
      <c r="C87" s="39"/>
      <c r="D87" s="42"/>
      <c r="E87" s="43"/>
      <c r="F87" s="43"/>
      <c r="G87" s="43"/>
      <c r="H87" s="43"/>
      <c r="I87" s="39"/>
      <c r="J87" s="42"/>
      <c r="K87" s="39"/>
      <c r="L87" s="46">
        <v>0</v>
      </c>
      <c r="M87" s="47"/>
    </row>
    <row r="88" spans="2:13" ht="15.75" thickBot="1" x14ac:dyDescent="0.3">
      <c r="B88" s="40"/>
      <c r="C88" s="41"/>
      <c r="D88" s="44"/>
      <c r="E88" s="45"/>
      <c r="F88" s="45"/>
      <c r="G88" s="45"/>
      <c r="H88" s="45"/>
      <c r="I88" s="41"/>
      <c r="J88" s="44"/>
      <c r="K88" s="41"/>
      <c r="L88" s="48"/>
      <c r="M88" s="49"/>
    </row>
    <row r="89" spans="2:13" x14ac:dyDescent="0.25">
      <c r="B89" s="38"/>
      <c r="C89" s="39"/>
      <c r="D89" s="42"/>
      <c r="E89" s="43"/>
      <c r="F89" s="43"/>
      <c r="G89" s="43"/>
      <c r="H89" s="43"/>
      <c r="I89" s="39"/>
      <c r="J89" s="42"/>
      <c r="K89" s="39"/>
      <c r="L89" s="46">
        <v>0</v>
      </c>
      <c r="M89" s="47"/>
    </row>
    <row r="90" spans="2:13" ht="15.75" thickBot="1" x14ac:dyDescent="0.3">
      <c r="B90" s="40"/>
      <c r="C90" s="41"/>
      <c r="D90" s="44"/>
      <c r="E90" s="45"/>
      <c r="F90" s="45"/>
      <c r="G90" s="45"/>
      <c r="H90" s="45"/>
      <c r="I90" s="41"/>
      <c r="J90" s="44"/>
      <c r="K90" s="41"/>
      <c r="L90" s="48"/>
      <c r="M90" s="49"/>
    </row>
    <row r="91" spans="2:13" x14ac:dyDescent="0.25">
      <c r="B91" s="38"/>
      <c r="C91" s="39"/>
      <c r="D91" s="42"/>
      <c r="E91" s="43"/>
      <c r="F91" s="43"/>
      <c r="G91" s="43"/>
      <c r="H91" s="43"/>
      <c r="I91" s="39"/>
      <c r="J91" s="42"/>
      <c r="K91" s="39"/>
      <c r="L91" s="46">
        <v>0</v>
      </c>
      <c r="M91" s="47"/>
    </row>
    <row r="92" spans="2:13" ht="15.75" thickBot="1" x14ac:dyDescent="0.3">
      <c r="B92" s="40"/>
      <c r="C92" s="41"/>
      <c r="D92" s="44"/>
      <c r="E92" s="45"/>
      <c r="F92" s="45"/>
      <c r="G92" s="45"/>
      <c r="H92" s="45"/>
      <c r="I92" s="41"/>
      <c r="J92" s="44"/>
      <c r="K92" s="41"/>
      <c r="L92" s="48"/>
      <c r="M92" s="49"/>
    </row>
    <row r="93" spans="2:13" x14ac:dyDescent="0.25">
      <c r="B93" s="38"/>
      <c r="C93" s="39"/>
      <c r="D93" s="42"/>
      <c r="E93" s="43"/>
      <c r="F93" s="43"/>
      <c r="G93" s="43"/>
      <c r="H93" s="43"/>
      <c r="I93" s="39"/>
      <c r="J93" s="42"/>
      <c r="K93" s="39"/>
      <c r="L93" s="46">
        <v>0</v>
      </c>
      <c r="M93" s="47"/>
    </row>
    <row r="94" spans="2:13" ht="15.75" thickBot="1" x14ac:dyDescent="0.3">
      <c r="B94" s="40"/>
      <c r="C94" s="41"/>
      <c r="D94" s="44"/>
      <c r="E94" s="45"/>
      <c r="F94" s="45"/>
      <c r="G94" s="45"/>
      <c r="H94" s="45"/>
      <c r="I94" s="41"/>
      <c r="J94" s="44"/>
      <c r="K94" s="41"/>
      <c r="L94" s="48"/>
      <c r="M94" s="49"/>
    </row>
    <row r="95" spans="2:13" x14ac:dyDescent="0.25">
      <c r="B95" s="38"/>
      <c r="C95" s="39"/>
      <c r="D95" s="42"/>
      <c r="E95" s="43"/>
      <c r="F95" s="43"/>
      <c r="G95" s="43"/>
      <c r="H95" s="43"/>
      <c r="I95" s="39"/>
      <c r="J95" s="42"/>
      <c r="K95" s="39"/>
      <c r="L95" s="46">
        <v>0</v>
      </c>
      <c r="M95" s="47"/>
    </row>
    <row r="96" spans="2:13" ht="15.75" thickBot="1" x14ac:dyDescent="0.3">
      <c r="B96" s="40"/>
      <c r="C96" s="41"/>
      <c r="D96" s="44"/>
      <c r="E96" s="45"/>
      <c r="F96" s="45"/>
      <c r="G96" s="45"/>
      <c r="H96" s="45"/>
      <c r="I96" s="41"/>
      <c r="J96" s="44"/>
      <c r="K96" s="41"/>
      <c r="L96" s="48"/>
      <c r="M96" s="49"/>
    </row>
    <row r="97" spans="2:13" x14ac:dyDescent="0.25">
      <c r="B97" s="38"/>
      <c r="C97" s="39"/>
      <c r="D97" s="42"/>
      <c r="E97" s="43"/>
      <c r="F97" s="43"/>
      <c r="G97" s="43"/>
      <c r="H97" s="43"/>
      <c r="I97" s="39"/>
      <c r="J97" s="42"/>
      <c r="K97" s="39"/>
      <c r="L97" s="46">
        <v>0</v>
      </c>
      <c r="M97" s="47"/>
    </row>
    <row r="98" spans="2:13" ht="15.75" thickBot="1" x14ac:dyDescent="0.3">
      <c r="B98" s="40"/>
      <c r="C98" s="41"/>
      <c r="D98" s="44"/>
      <c r="E98" s="45"/>
      <c r="F98" s="45"/>
      <c r="G98" s="45"/>
      <c r="H98" s="45"/>
      <c r="I98" s="41"/>
      <c r="J98" s="44"/>
      <c r="K98" s="41"/>
      <c r="L98" s="48"/>
      <c r="M98" s="49"/>
    </row>
    <row r="99" spans="2:13" x14ac:dyDescent="0.25">
      <c r="B99" s="38"/>
      <c r="C99" s="39"/>
      <c r="D99" s="42"/>
      <c r="E99" s="43"/>
      <c r="F99" s="43"/>
      <c r="G99" s="43"/>
      <c r="H99" s="43"/>
      <c r="I99" s="39"/>
      <c r="J99" s="42"/>
      <c r="K99" s="39"/>
      <c r="L99" s="46">
        <v>0</v>
      </c>
      <c r="M99" s="47"/>
    </row>
    <row r="100" spans="2:13" ht="15.75" thickBot="1" x14ac:dyDescent="0.3">
      <c r="B100" s="40"/>
      <c r="C100" s="41"/>
      <c r="D100" s="44"/>
      <c r="E100" s="45"/>
      <c r="F100" s="45"/>
      <c r="G100" s="45"/>
      <c r="H100" s="45"/>
      <c r="I100" s="41"/>
      <c r="J100" s="44"/>
      <c r="K100" s="41"/>
      <c r="L100" s="48"/>
      <c r="M100" s="49"/>
    </row>
    <row r="101" spans="2:13" x14ac:dyDescent="0.25">
      <c r="B101" s="38"/>
      <c r="C101" s="39"/>
      <c r="D101" s="42"/>
      <c r="E101" s="43"/>
      <c r="F101" s="43"/>
      <c r="G101" s="43"/>
      <c r="H101" s="43"/>
      <c r="I101" s="39"/>
      <c r="J101" s="42"/>
      <c r="K101" s="39"/>
      <c r="L101" s="46">
        <v>0</v>
      </c>
      <c r="M101" s="47"/>
    </row>
    <row r="102" spans="2:13" ht="15.75" thickBot="1" x14ac:dyDescent="0.3">
      <c r="B102" s="40"/>
      <c r="C102" s="41"/>
      <c r="D102" s="44"/>
      <c r="E102" s="45"/>
      <c r="F102" s="45"/>
      <c r="G102" s="45"/>
      <c r="H102" s="45"/>
      <c r="I102" s="41"/>
      <c r="J102" s="44"/>
      <c r="K102" s="41"/>
      <c r="L102" s="48"/>
      <c r="M102" s="49"/>
    </row>
    <row r="103" spans="2:13" x14ac:dyDescent="0.25">
      <c r="B103" s="38"/>
      <c r="C103" s="39"/>
      <c r="D103" s="42"/>
      <c r="E103" s="43"/>
      <c r="F103" s="43"/>
      <c r="G103" s="43"/>
      <c r="H103" s="43"/>
      <c r="I103" s="39"/>
      <c r="J103" s="42"/>
      <c r="K103" s="39"/>
      <c r="L103" s="46">
        <v>0</v>
      </c>
      <c r="M103" s="47"/>
    </row>
    <row r="104" spans="2:13" ht="15.75" thickBot="1" x14ac:dyDescent="0.3">
      <c r="B104" s="40"/>
      <c r="C104" s="41"/>
      <c r="D104" s="44"/>
      <c r="E104" s="45"/>
      <c r="F104" s="45"/>
      <c r="G104" s="45"/>
      <c r="H104" s="45"/>
      <c r="I104" s="41"/>
      <c r="J104" s="44"/>
      <c r="K104" s="41"/>
      <c r="L104" s="48"/>
      <c r="M104" s="49"/>
    </row>
    <row r="105" spans="2:13" x14ac:dyDescent="0.25">
      <c r="B105" s="38"/>
      <c r="C105" s="39"/>
      <c r="D105" s="42"/>
      <c r="E105" s="43"/>
      <c r="F105" s="43"/>
      <c r="G105" s="43"/>
      <c r="H105" s="43"/>
      <c r="I105" s="39"/>
      <c r="J105" s="42"/>
      <c r="K105" s="39"/>
      <c r="L105" s="46">
        <v>0</v>
      </c>
      <c r="M105" s="47"/>
    </row>
    <row r="106" spans="2:13" ht="15.75" thickBot="1" x14ac:dyDescent="0.3">
      <c r="B106" s="40"/>
      <c r="C106" s="41"/>
      <c r="D106" s="44"/>
      <c r="E106" s="45"/>
      <c r="F106" s="45"/>
      <c r="G106" s="45"/>
      <c r="H106" s="45"/>
      <c r="I106" s="41"/>
      <c r="J106" s="44"/>
      <c r="K106" s="41"/>
      <c r="L106" s="48"/>
      <c r="M106" s="49"/>
    </row>
    <row r="107" spans="2:13" x14ac:dyDescent="0.25">
      <c r="B107" s="66" t="s">
        <v>8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76">
        <f>SUM(L83:M106)</f>
        <v>0</v>
      </c>
      <c r="M107" s="77"/>
    </row>
    <row r="108" spans="2:13" ht="15.75" thickBot="1" x14ac:dyDescent="0.3">
      <c r="B108" s="68"/>
      <c r="C108" s="69"/>
      <c r="D108" s="69"/>
      <c r="E108" s="69"/>
      <c r="F108" s="69"/>
      <c r="G108" s="69"/>
      <c r="H108" s="69"/>
      <c r="I108" s="69"/>
      <c r="J108" s="69"/>
      <c r="K108" s="69"/>
      <c r="L108" s="78"/>
      <c r="M108" s="79"/>
    </row>
  </sheetData>
  <mergeCells count="187">
    <mergeCell ref="B107:C108"/>
    <mergeCell ref="D107:K108"/>
    <mergeCell ref="L107:M108"/>
    <mergeCell ref="B103:C104"/>
    <mergeCell ref="D103:I104"/>
    <mergeCell ref="J103:K104"/>
    <mergeCell ref="L103:M104"/>
    <mergeCell ref="B105:C106"/>
    <mergeCell ref="D105:I106"/>
    <mergeCell ref="J105:K106"/>
    <mergeCell ref="L105:M106"/>
    <mergeCell ref="B99:C100"/>
    <mergeCell ref="D99:I100"/>
    <mergeCell ref="J99:K100"/>
    <mergeCell ref="L99:M100"/>
    <mergeCell ref="B101:C102"/>
    <mergeCell ref="D101:I102"/>
    <mergeCell ref="J101:K102"/>
    <mergeCell ref="L101:M102"/>
    <mergeCell ref="B95:C96"/>
    <mergeCell ref="D95:I96"/>
    <mergeCell ref="J95:K96"/>
    <mergeCell ref="L95:M96"/>
    <mergeCell ref="B97:C98"/>
    <mergeCell ref="D97:I98"/>
    <mergeCell ref="J97:K98"/>
    <mergeCell ref="L97:M98"/>
    <mergeCell ref="B91:C92"/>
    <mergeCell ref="D91:I92"/>
    <mergeCell ref="J91:K92"/>
    <mergeCell ref="L91:M92"/>
    <mergeCell ref="B93:C94"/>
    <mergeCell ref="D93:I94"/>
    <mergeCell ref="J93:K94"/>
    <mergeCell ref="L93:M94"/>
    <mergeCell ref="B87:C88"/>
    <mergeCell ref="D87:I88"/>
    <mergeCell ref="J87:K88"/>
    <mergeCell ref="L87:M88"/>
    <mergeCell ref="B89:C90"/>
    <mergeCell ref="D89:I90"/>
    <mergeCell ref="J89:K90"/>
    <mergeCell ref="L89:M90"/>
    <mergeCell ref="B83:C84"/>
    <mergeCell ref="D83:I84"/>
    <mergeCell ref="J83:K84"/>
    <mergeCell ref="L83:M84"/>
    <mergeCell ref="B85:C86"/>
    <mergeCell ref="D85:I86"/>
    <mergeCell ref="J85:K86"/>
    <mergeCell ref="L85:M86"/>
    <mergeCell ref="B76:C77"/>
    <mergeCell ref="D76:K77"/>
    <mergeCell ref="L76:M77"/>
    <mergeCell ref="B79:K80"/>
    <mergeCell ref="L79:M80"/>
    <mergeCell ref="B81:C82"/>
    <mergeCell ref="D81:I82"/>
    <mergeCell ref="J81:K82"/>
    <mergeCell ref="L81:M82"/>
    <mergeCell ref="B72:C73"/>
    <mergeCell ref="D72:I73"/>
    <mergeCell ref="J72:K73"/>
    <mergeCell ref="L72:M73"/>
    <mergeCell ref="B74:C75"/>
    <mergeCell ref="D74:I75"/>
    <mergeCell ref="J74:K75"/>
    <mergeCell ref="L74:M75"/>
    <mergeCell ref="B68:C69"/>
    <mergeCell ref="D68:I69"/>
    <mergeCell ref="J68:K69"/>
    <mergeCell ref="L68:M69"/>
    <mergeCell ref="B70:C71"/>
    <mergeCell ref="D70:I71"/>
    <mergeCell ref="J70:K71"/>
    <mergeCell ref="L70:M71"/>
    <mergeCell ref="B64:C65"/>
    <mergeCell ref="D64:I65"/>
    <mergeCell ref="J64:K65"/>
    <mergeCell ref="L64:M65"/>
    <mergeCell ref="B66:C67"/>
    <mergeCell ref="D66:I67"/>
    <mergeCell ref="J66:K67"/>
    <mergeCell ref="L66:M67"/>
    <mergeCell ref="B60:C61"/>
    <mergeCell ref="D60:I61"/>
    <mergeCell ref="J60:K61"/>
    <mergeCell ref="L60:M61"/>
    <mergeCell ref="B62:C63"/>
    <mergeCell ref="D62:I63"/>
    <mergeCell ref="J62:K63"/>
    <mergeCell ref="L62:M63"/>
    <mergeCell ref="B56:C57"/>
    <mergeCell ref="D56:I57"/>
    <mergeCell ref="J56:K57"/>
    <mergeCell ref="L56:M57"/>
    <mergeCell ref="B58:C59"/>
    <mergeCell ref="D58:I59"/>
    <mergeCell ref="J58:K59"/>
    <mergeCell ref="L58:M59"/>
    <mergeCell ref="B52:C53"/>
    <mergeCell ref="D52:I53"/>
    <mergeCell ref="J52:K53"/>
    <mergeCell ref="L52:M53"/>
    <mergeCell ref="B54:C55"/>
    <mergeCell ref="D54:I55"/>
    <mergeCell ref="J54:K55"/>
    <mergeCell ref="L54:M55"/>
    <mergeCell ref="B45:C46"/>
    <mergeCell ref="D45:K46"/>
    <mergeCell ref="L45:M46"/>
    <mergeCell ref="B48:K49"/>
    <mergeCell ref="L48:M49"/>
    <mergeCell ref="B50:C51"/>
    <mergeCell ref="D50:I51"/>
    <mergeCell ref="J50:K51"/>
    <mergeCell ref="L50:M51"/>
    <mergeCell ref="B41:C42"/>
    <mergeCell ref="D41:I42"/>
    <mergeCell ref="J41:K42"/>
    <mergeCell ref="L41:M42"/>
    <mergeCell ref="B43:C44"/>
    <mergeCell ref="D43:I44"/>
    <mergeCell ref="J43:K44"/>
    <mergeCell ref="L43:M44"/>
    <mergeCell ref="B37:K38"/>
    <mergeCell ref="L37:M38"/>
    <mergeCell ref="B39:C40"/>
    <mergeCell ref="D39:I40"/>
    <mergeCell ref="J39:K40"/>
    <mergeCell ref="L39:M40"/>
    <mergeCell ref="B32:C33"/>
    <mergeCell ref="D32:I33"/>
    <mergeCell ref="J32:K33"/>
    <mergeCell ref="L32:M33"/>
    <mergeCell ref="B34:C35"/>
    <mergeCell ref="D34:K35"/>
    <mergeCell ref="L34:M35"/>
    <mergeCell ref="B28:K29"/>
    <mergeCell ref="L28:M29"/>
    <mergeCell ref="B30:C31"/>
    <mergeCell ref="D30:I31"/>
    <mergeCell ref="J30:K31"/>
    <mergeCell ref="L30:M31"/>
    <mergeCell ref="B25:C26"/>
    <mergeCell ref="D25:K26"/>
    <mergeCell ref="L25:M26"/>
    <mergeCell ref="B23:C24"/>
    <mergeCell ref="D23:I24"/>
    <mergeCell ref="J23:K24"/>
    <mergeCell ref="L23:M24"/>
    <mergeCell ref="B19:C20"/>
    <mergeCell ref="D19:I20"/>
    <mergeCell ref="J19:K20"/>
    <mergeCell ref="L19:M20"/>
    <mergeCell ref="B21:C22"/>
    <mergeCell ref="D21:I22"/>
    <mergeCell ref="J21:K22"/>
    <mergeCell ref="L21:M22"/>
    <mergeCell ref="B15:C16"/>
    <mergeCell ref="D15:I16"/>
    <mergeCell ref="J15:K16"/>
    <mergeCell ref="L15:M16"/>
    <mergeCell ref="B17:C18"/>
    <mergeCell ref="D17:I18"/>
    <mergeCell ref="J17:K18"/>
    <mergeCell ref="L17:M18"/>
    <mergeCell ref="B10:C11"/>
    <mergeCell ref="D10:I11"/>
    <mergeCell ref="J10:K11"/>
    <mergeCell ref="L10:M11"/>
    <mergeCell ref="B13:K14"/>
    <mergeCell ref="L13:M14"/>
    <mergeCell ref="K3:K4"/>
    <mergeCell ref="L3:M4"/>
    <mergeCell ref="B6:K7"/>
    <mergeCell ref="L6:M7"/>
    <mergeCell ref="B8:C9"/>
    <mergeCell ref="D8:I9"/>
    <mergeCell ref="J8:K9"/>
    <mergeCell ref="L8:M9"/>
    <mergeCell ref="B3:C4"/>
    <mergeCell ref="D3:D4"/>
    <mergeCell ref="E3:F4"/>
    <mergeCell ref="G3:G4"/>
    <mergeCell ref="H3:H4"/>
    <mergeCell ref="I3:J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Semaine1</vt:lpstr>
      <vt:lpstr>Semaine2</vt:lpstr>
      <vt:lpstr>Semaine3</vt:lpstr>
      <vt:lpstr>Semaine4</vt:lpstr>
      <vt:lpstr>Semaine5</vt:lpstr>
      <vt:lpstr>Semaine6</vt:lpstr>
      <vt:lpstr>Semaine7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Dimitri Dussault</dc:creator>
  <cp:lastModifiedBy>Morgan Dimitri Dussault</cp:lastModifiedBy>
  <cp:lastPrinted>2025-03-10T07:47:10Z</cp:lastPrinted>
  <dcterms:created xsi:type="dcterms:W3CDTF">2025-01-24T10:26:46Z</dcterms:created>
  <dcterms:modified xsi:type="dcterms:W3CDTF">2025-03-12T14:28:47Z</dcterms:modified>
</cp:coreProperties>
</file>